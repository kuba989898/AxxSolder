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xxSolder\AxxSolder_hardware\bom\"/>
    </mc:Choice>
  </mc:AlternateContent>
  <xr:revisionPtr revIDLastSave="0" documentId="13_ncr:1_{F8558AFD-AF01-485A-9D08-B07AE96717F8}" xr6:coauthVersionLast="47" xr6:coauthVersionMax="47" xr10:uidLastSave="{00000000-0000-0000-0000-000000000000}"/>
  <bookViews>
    <workbookView xWindow="-120" yWindow="-120" windowWidth="29040" windowHeight="15840" xr2:uid="{60354D9D-8798-4211-B1E3-D5485177CC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7" i="1" l="1"/>
  <c r="L67" i="1"/>
  <c r="M54" i="1"/>
  <c r="O54" i="1" s="1"/>
  <c r="M55" i="1"/>
  <c r="O55" i="1" s="1"/>
  <c r="M56" i="1"/>
  <c r="O56" i="1" s="1"/>
  <c r="O51" i="1"/>
  <c r="M51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9" i="1"/>
  <c r="O30" i="1"/>
  <c r="O31" i="1"/>
  <c r="O32" i="1"/>
  <c r="O33" i="1"/>
  <c r="O34" i="1"/>
  <c r="O35" i="1"/>
  <c r="O36" i="1"/>
  <c r="O38" i="1"/>
  <c r="O39" i="1"/>
  <c r="O40" i="1"/>
  <c r="O41" i="1"/>
  <c r="O42" i="1"/>
  <c r="O44" i="1"/>
  <c r="O4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 s="1"/>
  <c r="I46" i="1"/>
  <c r="J46" i="1"/>
  <c r="I47" i="1"/>
  <c r="J47" i="1"/>
  <c r="H57" i="1"/>
  <c r="H65" i="1"/>
  <c r="H73" i="1"/>
  <c r="H81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4" i="1"/>
  <c r="M25" i="1"/>
  <c r="M26" i="1"/>
  <c r="M27" i="1"/>
  <c r="M29" i="1"/>
  <c r="M30" i="1"/>
  <c r="M31" i="1"/>
  <c r="M32" i="1"/>
  <c r="M33" i="1"/>
  <c r="M34" i="1"/>
  <c r="M35" i="1"/>
  <c r="M36" i="1"/>
  <c r="M37" i="1"/>
  <c r="O37" i="1" s="1"/>
  <c r="M38" i="1"/>
  <c r="M39" i="1"/>
  <c r="M40" i="1"/>
  <c r="M41" i="1"/>
  <c r="M42" i="1"/>
  <c r="M44" i="1"/>
  <c r="M45" i="1"/>
  <c r="M4" i="1"/>
  <c r="G81" i="1"/>
  <c r="G80" i="1"/>
  <c r="H80" i="1" s="1"/>
  <c r="G76" i="1"/>
  <c r="H76" i="1" s="1"/>
  <c r="G77" i="1"/>
  <c r="H77" i="1" s="1"/>
  <c r="G73" i="1"/>
  <c r="G70" i="1"/>
  <c r="H70" i="1" s="1"/>
  <c r="G62" i="1"/>
  <c r="H62" i="1" s="1"/>
  <c r="G58" i="1"/>
  <c r="H58" i="1" s="1"/>
  <c r="G56" i="1"/>
  <c r="H56" i="1" s="1"/>
  <c r="G66" i="1"/>
  <c r="H66" i="1" s="1"/>
  <c r="G65" i="1"/>
  <c r="G64" i="1"/>
  <c r="H64" i="1" s="1"/>
  <c r="G63" i="1"/>
  <c r="H63" i="1" s="1"/>
  <c r="G61" i="1"/>
  <c r="H61" i="1" s="1"/>
  <c r="G60" i="1"/>
  <c r="H60" i="1" s="1"/>
  <c r="G59" i="1"/>
  <c r="H59" i="1" s="1"/>
  <c r="G57" i="1"/>
  <c r="G55" i="1"/>
  <c r="H55" i="1" s="1"/>
  <c r="G54" i="1"/>
  <c r="H54" i="1" s="1"/>
  <c r="G53" i="1"/>
  <c r="H53" i="1" s="1"/>
  <c r="G52" i="1"/>
  <c r="H52" i="1" s="1"/>
  <c r="G51" i="1"/>
  <c r="H51" i="1" s="1"/>
  <c r="H67" i="1" s="1"/>
  <c r="J48" i="1" l="1"/>
  <c r="N67" i="1"/>
  <c r="M23" i="1"/>
</calcChain>
</file>

<file path=xl/sharedStrings.xml><?xml version="1.0" encoding="utf-8"?>
<sst xmlns="http://schemas.openxmlformats.org/spreadsheetml/2006/main" count="325" uniqueCount="259">
  <si>
    <t>References</t>
  </si>
  <si>
    <t>Value</t>
  </si>
  <si>
    <t>Footprint</t>
  </si>
  <si>
    <t>Mouser Part Number</t>
  </si>
  <si>
    <t>100n</t>
  </si>
  <si>
    <t>C_0603_1608Metric</t>
  </si>
  <si>
    <t>KEMET</t>
  </si>
  <si>
    <t>C0603C104J5RACTU</t>
  </si>
  <si>
    <t>80-C0603C104J5R</t>
  </si>
  <si>
    <t>10u</t>
  </si>
  <si>
    <t>Murata Electronics</t>
  </si>
  <si>
    <t>GRM188R6YA106MA73J</t>
  </si>
  <si>
    <t>81-GRM188R6YA106MA3J</t>
  </si>
  <si>
    <t>1n</t>
  </si>
  <si>
    <t>C0603C102K3GAC</t>
  </si>
  <si>
    <t>4k7</t>
  </si>
  <si>
    <t>R_0603_1608Metric</t>
  </si>
  <si>
    <t>Panasonic</t>
  </si>
  <si>
    <t>ERJ-3RBD4701V</t>
  </si>
  <si>
    <t>667-ERJ-3RBD4701V</t>
  </si>
  <si>
    <t>22k</t>
  </si>
  <si>
    <t>ERJ-UP3J223V</t>
  </si>
  <si>
    <t>667-ERJ-UP3J223V</t>
  </si>
  <si>
    <t>1k5</t>
  </si>
  <si>
    <t>ERJ-H3ED1501V</t>
  </si>
  <si>
    <t>667-ERJ-H3ED1501V</t>
  </si>
  <si>
    <t>220k</t>
  </si>
  <si>
    <t>ERJ-3RED2203V</t>
  </si>
  <si>
    <t>667-ERJ-3RED2203V</t>
  </si>
  <si>
    <t>360k</t>
  </si>
  <si>
    <t>ERJ-3RED3603V</t>
  </si>
  <si>
    <t>667-ERJ-3RED3603V</t>
  </si>
  <si>
    <t>ERJ-P03F1000V</t>
  </si>
  <si>
    <t>667-ERJ-P03F1000V</t>
  </si>
  <si>
    <t>5m</t>
  </si>
  <si>
    <t>RESC6432X89N</t>
  </si>
  <si>
    <t>Vishay</t>
  </si>
  <si>
    <t>WSLP25125L000FEA</t>
  </si>
  <si>
    <t>71-WSLP25125L000FEA</t>
  </si>
  <si>
    <t>1M</t>
  </si>
  <si>
    <t>Bourns</t>
  </si>
  <si>
    <t>L1</t>
  </si>
  <si>
    <t>INDPM7366X300N</t>
  </si>
  <si>
    <t>D5, D6, D7, D8</t>
  </si>
  <si>
    <t>BAT54S</t>
  </si>
  <si>
    <t>SOT95P230X110-3N</t>
  </si>
  <si>
    <t>Diotec Semiconductor</t>
  </si>
  <si>
    <t>637-BAT54S</t>
  </si>
  <si>
    <t>D1, D2</t>
  </si>
  <si>
    <t>BAV199WQ-7</t>
  </si>
  <si>
    <t>SOT65P210X110-3N</t>
  </si>
  <si>
    <t>Diodes Incorporated</t>
  </si>
  <si>
    <t>621-BAV199WQ-7</t>
  </si>
  <si>
    <t>D3, D4</t>
  </si>
  <si>
    <t>SMF4L24AT1G</t>
  </si>
  <si>
    <t>SODFL3619X98N</t>
  </si>
  <si>
    <t>LITTELFUSE</t>
  </si>
  <si>
    <t>576-SMF4L24AT1G</t>
  </si>
  <si>
    <t>PMEG6020ER</t>
  </si>
  <si>
    <t>PMEG6020ER115</t>
  </si>
  <si>
    <t>Nexperia</t>
  </si>
  <si>
    <t>PMEG6020ER,115</t>
  </si>
  <si>
    <t>771-PMEG6020ER-115</t>
  </si>
  <si>
    <t>Adafruit_240x320_TFT</t>
  </si>
  <si>
    <t>Adafruit</t>
  </si>
  <si>
    <t>485-4311</t>
  </si>
  <si>
    <t>U3</t>
  </si>
  <si>
    <t>BSC014N04LS</t>
  </si>
  <si>
    <t>Infineon Technologies</t>
  </si>
  <si>
    <t>BSC014N04LSATMA1</t>
  </si>
  <si>
    <t>726-BSC014N04LSATMA1</t>
  </si>
  <si>
    <t>F1</t>
  </si>
  <si>
    <t>0154100DR</t>
  </si>
  <si>
    <t>F2</t>
  </si>
  <si>
    <t>SF-2410FP100W-2</t>
  </si>
  <si>
    <t>SF2410FP100W2</t>
  </si>
  <si>
    <t>652-SF-2410FP100W-2</t>
  </si>
  <si>
    <t>Apem</t>
  </si>
  <si>
    <t>TSW-102-XX-YY-S</t>
  </si>
  <si>
    <t>FB1</t>
  </si>
  <si>
    <t>BLM18HE601SN1D</t>
  </si>
  <si>
    <t>81-BLM18HE601SN1D</t>
  </si>
  <si>
    <t>IC1</t>
  </si>
  <si>
    <t>OPA2387DSGT</t>
  </si>
  <si>
    <t>SON50P200X200X80-9N</t>
  </si>
  <si>
    <t>Texas Instruments</t>
  </si>
  <si>
    <t>595-OPA2387DSGT</t>
  </si>
  <si>
    <t>IC2</t>
  </si>
  <si>
    <t>IC3</t>
  </si>
  <si>
    <t>IC4</t>
  </si>
  <si>
    <t>STUSB4500QTR</t>
  </si>
  <si>
    <t>QFN50P400X400X100-25N-D</t>
  </si>
  <si>
    <t>STMicroelectronics</t>
  </si>
  <si>
    <t>511-STUSB4500QTR</t>
  </si>
  <si>
    <t>IC5</t>
  </si>
  <si>
    <t>LTC4440AHMS8E</t>
  </si>
  <si>
    <t>SOP65P490X110-9N</t>
  </si>
  <si>
    <t>Analog Devices</t>
  </si>
  <si>
    <t>LTC4440AHMS8E-5#PBF</t>
  </si>
  <si>
    <t>584-C4440AHMS8E-5PBF</t>
  </si>
  <si>
    <t>IC6</t>
  </si>
  <si>
    <t>MAX16171ATA_VY+T</t>
  </si>
  <si>
    <t>SON50P300X200X80-9N</t>
  </si>
  <si>
    <t>MAX16171ATA/VY+T</t>
  </si>
  <si>
    <t>700-MAX16171ATA/VY+T</t>
  </si>
  <si>
    <t>IC7</t>
  </si>
  <si>
    <t>STM32G431CBT6</t>
  </si>
  <si>
    <t>QFP50P900X900X160-48N</t>
  </si>
  <si>
    <t>511-STM32G431CBT6</t>
  </si>
  <si>
    <t>LS1</t>
  </si>
  <si>
    <t>CMI-9653S-SMT-TR</t>
  </si>
  <si>
    <t>CMI9653SSMTTR</t>
  </si>
  <si>
    <t>CUI Devices</t>
  </si>
  <si>
    <t>490-CMI-9653S-SMT-TR</t>
  </si>
  <si>
    <t>Q1</t>
  </si>
  <si>
    <t>STL9P3LLH6</t>
  </si>
  <si>
    <t>511-STL9P3LLH6</t>
  </si>
  <si>
    <t>Q2</t>
  </si>
  <si>
    <t>2N7002NXAKR</t>
  </si>
  <si>
    <t>771-2N7002NXAKR</t>
  </si>
  <si>
    <t>Q3</t>
  </si>
  <si>
    <t>STL10N3LLH5</t>
  </si>
  <si>
    <t>511-STL10N3LLH5</t>
  </si>
  <si>
    <t>J1</t>
  </si>
  <si>
    <t>USB4110-GF-A</t>
  </si>
  <si>
    <t>USB4110GFA</t>
  </si>
  <si>
    <t>640-USB4110-GF-A</t>
  </si>
  <si>
    <t>J2</t>
  </si>
  <si>
    <t>Wurth Elektronik</t>
  </si>
  <si>
    <t>710-691243110009</t>
  </si>
  <si>
    <t>RHDR6W97P0X254_1X6_1574X250X865P</t>
  </si>
  <si>
    <t>710-61300611821</t>
  </si>
  <si>
    <t>Manufacturer</t>
  </si>
  <si>
    <t xml:space="preserve"> Quantity</t>
  </si>
  <si>
    <t>GCT</t>
  </si>
  <si>
    <t>TSW-102-07-T-S</t>
  </si>
  <si>
    <t>SAMTEC</t>
  </si>
  <si>
    <t>200-TSW10207TS</t>
  </si>
  <si>
    <t>80-C0603C102K3G</t>
  </si>
  <si>
    <t>SUM Components</t>
  </si>
  <si>
    <t>Hardware</t>
  </si>
  <si>
    <t>Connector for JBC stand (binder 99-0624-00-07)</t>
  </si>
  <si>
    <t>Connector for soldering iron (HIROSE(HRS) RPC1-12RB-6P(71))</t>
  </si>
  <si>
    <t>Rotary encoder knob</t>
  </si>
  <si>
    <t>3D printed housing</t>
  </si>
  <si>
    <t>Screws - M4x8mm</t>
  </si>
  <si>
    <t>For enclosure to JBS stand</t>
  </si>
  <si>
    <t>Screws - M2x8mm + nuts</t>
  </si>
  <si>
    <t>For the aluminium rest</t>
  </si>
  <si>
    <t>JBC stand</t>
  </si>
  <si>
    <t xml:space="preserve">JBS Stand </t>
  </si>
  <si>
    <t>Non-genuine Stand</t>
  </si>
  <si>
    <t xml:space="preserve">Non-brand Stand </t>
  </si>
  <si>
    <t>JBC T210 handle piece</t>
  </si>
  <si>
    <t>T210 handle piece</t>
  </si>
  <si>
    <t>C3, C9, C14, C15, C16, C17, C18, C21, C22, C23, C24, C25, C26, C27, C28, C29, C33</t>
  </si>
  <si>
    <t>C1, C2, C5, C7, C8, C10, C11, C12, C13, C19, C20, C30, C31, C32, C34, C35</t>
  </si>
  <si>
    <t>C4, C6</t>
  </si>
  <si>
    <t>C37</t>
  </si>
  <si>
    <t>220u</t>
  </si>
  <si>
    <t>CAPAE830X1050N</t>
  </si>
  <si>
    <t>R4, R6, R18, R19, R20, R22, R23, R25, R26, R27, R28, R29, R30, R31, R32, R33, R35, R36, R37, R38</t>
  </si>
  <si>
    <t>R11, R12, R15, R21, R24</t>
  </si>
  <si>
    <t>R1, R5, R14, R17</t>
  </si>
  <si>
    <t>R2, R7, R8, R9</t>
  </si>
  <si>
    <t>R3, R10</t>
  </si>
  <si>
    <t>R42</t>
  </si>
  <si>
    <t>R44</t>
  </si>
  <si>
    <t>R_0805_2012Metric</t>
  </si>
  <si>
    <t>R45</t>
  </si>
  <si>
    <t>SRP7028CC-150M</t>
  </si>
  <si>
    <t>D9, D10</t>
  </si>
  <si>
    <t>U2</t>
  </si>
  <si>
    <t>ADTSM644RVTR</t>
  </si>
  <si>
    <t>TLV76733DRVR</t>
  </si>
  <si>
    <t>SON65P200X200X80-7N</t>
  </si>
  <si>
    <t>LMR54406DBVR</t>
  </si>
  <si>
    <t>SOT95P280X145-6N</t>
  </si>
  <si>
    <t>TPD4E1U06DBVR</t>
  </si>
  <si>
    <t>IC8</t>
  </si>
  <si>
    <t>IC9</t>
  </si>
  <si>
    <t>SOT95P280X145-5N</t>
  </si>
  <si>
    <t>J5, J6</t>
  </si>
  <si>
    <t>J4</t>
  </si>
  <si>
    <t>EEV227M035A9MAA</t>
  </si>
  <si>
    <t>80-EEV227M035A9MAA</t>
  </si>
  <si>
    <t>ERJ-6GEYJ105V</t>
  </si>
  <si>
    <t>667-ERJ-6GEYJ105V</t>
  </si>
  <si>
    <t>652-SRP7028CC-150M</t>
  </si>
  <si>
    <t>642-ADTSM644RVTR</t>
  </si>
  <si>
    <t>595-TLV76733DRVR</t>
  </si>
  <si>
    <t>595-LMR54406DBVR</t>
  </si>
  <si>
    <t>595-TPD4E1U06DBVR</t>
  </si>
  <si>
    <t>Price per part</t>
  </si>
  <si>
    <t>Price total</t>
  </si>
  <si>
    <t>RIC11-31S15D7-GSMT</t>
  </si>
  <si>
    <t>179-RIC1131S15D7GSMT</t>
  </si>
  <si>
    <t>https://eu.mouser.com/ProductDetail/Davies-Molding/1101?qs=byeeYqUIh0PVJzrDf6EcyQ%3D%3D</t>
  </si>
  <si>
    <t>Tactile button caps</t>
  </si>
  <si>
    <t>https://eu.mouser.com/ProductDetail/Omron-Electronics/B32-2000?qs=ZP3UR5XsUocRMlsFF2GtPw%3D%3D</t>
  </si>
  <si>
    <t>https://www.jbctools.com/ad-sf-stand-for-t210-t245-handles-product-2018.html</t>
  </si>
  <si>
    <t>Rocker Switch</t>
  </si>
  <si>
    <t>To mount the PCB to enclosure</t>
  </si>
  <si>
    <t>Screws - M2.5x12mm countersunk</t>
  </si>
  <si>
    <t xml:space="preserve">Screws - M2.5x20mm </t>
  </si>
  <si>
    <t>To mount PP15 connectors</t>
  </si>
  <si>
    <t>Screws - M2.5x6mm</t>
  </si>
  <si>
    <t>Prises as per 2024-02-20</t>
  </si>
  <si>
    <t>https://eu.mouser.com/ProductDetail/Anderson-Power-Products/1395G3?qs=yoCgdRjoRtE1BBke6hIRPA%3D%3D</t>
  </si>
  <si>
    <t>https://eu.mouser.com/ProductDetail/Anderson-Power-Products/1395?qs=yoCgdRjoRtFIuHO4SWqMZA%3D%3D</t>
  </si>
  <si>
    <t>https://eu.mouser.com/ProductDetail/Anderson-Power-Products/1395G1?qs=yoCgdRjoRtHp7gSzhBTdjg%3D%3D</t>
  </si>
  <si>
    <t>Power connector (Anderson PP15) BLACK</t>
  </si>
  <si>
    <t>Power connector (Anderson PP15) RED</t>
  </si>
  <si>
    <t>Power connector (Anderson PP15) GREEN</t>
  </si>
  <si>
    <t>https://eu.mouser.com/ProductDetail/Wurth-Elektronik/471001264143?qs=YCa%2FAAYMW03bZZ%252BoQThfXw%3D%3D</t>
  </si>
  <si>
    <t>576-0154007.DR</t>
  </si>
  <si>
    <t>0154007.DR</t>
  </si>
  <si>
    <t>100m</t>
  </si>
  <si>
    <t>ERJ-6DSFR10V</t>
  </si>
  <si>
    <t>667-ERJ-6DSFR10V</t>
  </si>
  <si>
    <t>INA281A5QDBVRQ1</t>
  </si>
  <si>
    <t>595-INA281A5QDBVRQ1</t>
  </si>
  <si>
    <t>Price total inc tax</t>
  </si>
  <si>
    <t>MPN</t>
  </si>
  <si>
    <t xml:space="preserve">PCB  (Development was done with PCBs from PCBWay, 2 layer, Immersion gold(ENIG) (1U")) + stencil
</t>
  </si>
  <si>
    <t>Price inc tax</t>
  </si>
  <si>
    <t>For the aluminium rest (not mandatory)</t>
  </si>
  <si>
    <t>https://eleshop.eu/jbc-ad-sf-stand-for-t245-and-t210.html</t>
  </si>
  <si>
    <t>https://www.aliexpress.com/i/1005005756505193.html</t>
  </si>
  <si>
    <t>https://www.jbctools.com/t210-a-precision-handle-product-48.html</t>
  </si>
  <si>
    <t>c210-008 tip</t>
  </si>
  <si>
    <t>https://www.jbctools.com/c210008-chisel-cartridge-13-x-06-product-183.html</t>
  </si>
  <si>
    <t>Non-genuine JBC T210 handle piece</t>
  </si>
  <si>
    <t>Aixun T210 handle piece</t>
  </si>
  <si>
    <t>Aixun c210-008 tip</t>
  </si>
  <si>
    <t>https://www.aliexpress.com/item/1005005081918036.html?algo_pvid=78d4a98a-6d47-43e1-8e91-4c3c1ae5cf4d&amp;aem_p4p_detail=20240604130221402631312959600000935203&amp;algo_exp_id=78d4a98a-6d47-43e1-8e91-4c3c1ae5cf4d-2&amp;pdp_npi=4%40dis%21SEK%21459.81%21229.91%21%21%2143.04%2121.52%21%40211b600d17175313411604987e9089%2112000031572016441%21sea%21SE%21134446295%21&amp;curPageLogUid=ntxK57ZqBX5y&amp;utparam-url=scene%3Asearch%7Cquery_from%3A&amp;search_p4p_id=20240604130221402631312959600000935203_3</t>
  </si>
  <si>
    <t>https://www.aliexpress.com/item/1005005879501637.html?spm=a2g0o.productlist.main.29.2f0682d4ltssPP&amp;algo_pvid=689e6dfe-d7d2-4536-841a-7febab5cb1eb&amp;algo_exp_id=689e6dfe-d7d2-4536-841a-7febab5cb1eb-14&amp;pdp_npi=4%40dis%21SEK%21355.36%21284.29%21%21%21241.05%21192.84%21%40211b600c17175313850401216e65f8%2112000034680227076%21sea%21SE%21134446295%21&amp;curPageLogUid=uptP5hZSIi1p&amp;utparam-url=scene%3Asearch%7Cquery_from%3A</t>
  </si>
  <si>
    <t>Parts for AxxSolder Station</t>
  </si>
  <si>
    <t>Parts for AxxSolder Portable</t>
  </si>
  <si>
    <t>SUM Hardware (portable)</t>
  </si>
  <si>
    <t>R13, R16, R34, R43, R46, R47, R48</t>
  </si>
  <si>
    <t>S2, S3</t>
  </si>
  <si>
    <t>TFT1</t>
  </si>
  <si>
    <t>J7</t>
  </si>
  <si>
    <t>TSW-108-07-T-S</t>
  </si>
  <si>
    <t>TSW-108-XX-YY-S</t>
  </si>
  <si>
    <t>200-TSW10807TS</t>
  </si>
  <si>
    <t>To mount HIROSE(HRS) RPC1-12RB-6P(71)</t>
  </si>
  <si>
    <t>Aluminium plate 15x10x2 mm</t>
  </si>
  <si>
    <t>R49,R50</t>
  </si>
  <si>
    <t>ERJ-3RED10R0V</t>
  </si>
  <si>
    <t>667-ERJ-3RED10R0V</t>
  </si>
  <si>
    <t>AxxSolder V3.2</t>
  </si>
  <si>
    <t>Cena</t>
  </si>
  <si>
    <t>Wydatki w sumie</t>
  </si>
  <si>
    <t>za szt.</t>
  </si>
  <si>
    <t>na ile urządzeń</t>
  </si>
  <si>
    <t>Ilość zamówiona Aliexpress</t>
  </si>
  <si>
    <t>koszt /
1 urządzenie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</si>
</sst>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zł&quot;_-;\-* #,##0.00\ &quot;zł&quot;_-;_-* &quot;-&quot;??\ &quot;zł&quot;_-;_-@_-"/>
    <numFmt numFmtId="164" formatCode="_-[$€-2]\ * #,##0.00_-;\-[$€-2]\ * #,##0.00_-;_-[$€-2]\ * &quot;-&quot;??_-;_-@_-"/>
    <numFmt numFmtId="165" formatCode="#,##0.00\ [$€-1];[Red]\-#,##0.00\ [$€-1]"/>
    <numFmt numFmtId="166" formatCode="_-* #,##0.00\ [$€-1]_-;\-* #,##0.00\ [$€-1]_-;_-* &quot;-&quot;??\ [$€-1]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rgb="FF000000"/>
      <name val="Consolas"/>
      <family val="3"/>
    </font>
    <font>
      <b/>
      <sz val="28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333333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FAADC"/>
        <bgColor rgb="FF96969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4C7E7"/>
        <bgColor rgb="FFCCCCFF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0" fillId="3" borderId="0" xfId="0" applyFill="1"/>
    <xf numFmtId="0" fontId="0" fillId="4" borderId="2" xfId="0" applyFill="1" applyBorder="1"/>
    <xf numFmtId="0" fontId="3" fillId="2" borderId="0" xfId="0" applyFont="1" applyFill="1"/>
    <xf numFmtId="0" fontId="5" fillId="0" borderId="0" xfId="0" applyFont="1"/>
    <xf numFmtId="164" fontId="5" fillId="0" borderId="0" xfId="0" applyNumberFormat="1" applyFont="1"/>
    <xf numFmtId="164" fontId="0" fillId="0" borderId="0" xfId="0" applyNumberFormat="1"/>
    <xf numFmtId="0" fontId="0" fillId="4" borderId="0" xfId="0" applyFill="1"/>
    <xf numFmtId="0" fontId="2" fillId="6" borderId="1" xfId="0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6" fontId="2" fillId="6" borderId="1" xfId="0" applyNumberFormat="1" applyFont="1" applyFill="1" applyBorder="1" applyAlignment="1">
      <alignment horizontal="center" vertical="center" wrapText="1"/>
    </xf>
    <xf numFmtId="0" fontId="6" fillId="0" borderId="0" xfId="1"/>
    <xf numFmtId="0" fontId="4" fillId="5" borderId="3" xfId="0" applyFont="1" applyFill="1" applyBorder="1" applyAlignment="1">
      <alignment horizontal="left"/>
    </xf>
    <xf numFmtId="1" fontId="2" fillId="0" borderId="1" xfId="0" applyNumberFormat="1" applyFont="1" applyBorder="1" applyAlignment="1">
      <alignment horizontal="center" vertical="center" wrapText="1"/>
    </xf>
    <xf numFmtId="44" fontId="0" fillId="0" borderId="0" xfId="0" applyNumberFormat="1"/>
    <xf numFmtId="166" fontId="2" fillId="0" borderId="5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3" xfId="0" applyFont="1" applyBorder="1"/>
    <xf numFmtId="0" fontId="8" fillId="0" borderId="3" xfId="0" applyFont="1" applyBorder="1"/>
    <xf numFmtId="44" fontId="1" fillId="0" borderId="3" xfId="0" applyNumberFormat="1" applyFont="1" applyBorder="1"/>
    <xf numFmtId="44" fontId="1" fillId="0" borderId="0" xfId="0" applyNumberFormat="1" applyFont="1"/>
    <xf numFmtId="0" fontId="9" fillId="5" borderId="4" xfId="0" applyFont="1" applyFill="1" applyBorder="1" applyAlignment="1">
      <alignment horizontal="left" wrapText="1"/>
    </xf>
    <xf numFmtId="0" fontId="9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 wrapText="1"/>
    </xf>
    <xf numFmtId="44" fontId="10" fillId="0" borderId="3" xfId="0" applyNumberFormat="1" applyFont="1" applyBorder="1" applyAlignment="1">
      <alignment horizontal="center" vertical="center" wrapText="1"/>
    </xf>
    <xf numFmtId="165" fontId="8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12" fontId="2" fillId="0" borderId="1" xfId="0" applyNumberFormat="1" applyFont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164" fontId="5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</cellXfs>
  <cellStyles count="2">
    <cellStyle name="Hiperłącze" xfId="1" builtinId="8"/>
    <cellStyle name="Normalny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eu.mouser.com/ProductDetail/Omron-Electronics/B32-2000?qs=ZP3UR5XsUocRMlsFF2GtPw%3D%3D" TargetMode="External"/><Relationship Id="rId7" Type="http://schemas.openxmlformats.org/officeDocument/2006/relationships/hyperlink" Target="https://eu.mouser.com/ProductDetail/Anderson-Power-Products/1395G3?qs=yoCgdRjoRtE1BBke6hIRPA%3D%3D" TargetMode="External"/><Relationship Id="rId2" Type="http://schemas.openxmlformats.org/officeDocument/2006/relationships/hyperlink" Target="https://eu.mouser.com/ProductDetail/Davies-Molding/1101?qs=byeeYqUIh0PVJzrDf6EcyQ%3D%3D" TargetMode="External"/><Relationship Id="rId1" Type="http://schemas.openxmlformats.org/officeDocument/2006/relationships/hyperlink" Target="https://eu.mouser.com/manufacturer/cui-devices/" TargetMode="External"/><Relationship Id="rId6" Type="http://schemas.openxmlformats.org/officeDocument/2006/relationships/hyperlink" Target="https://www.aliexpress.com/i/1005005756505193.html" TargetMode="External"/><Relationship Id="rId5" Type="http://schemas.openxmlformats.org/officeDocument/2006/relationships/hyperlink" Target="https://eleshop.eu/jbc-ad-sf-stand-for-t245-and-t210.html" TargetMode="External"/><Relationship Id="rId4" Type="http://schemas.openxmlformats.org/officeDocument/2006/relationships/hyperlink" Target="https://eu.mouser.com/ProductDetail/Wurth-Elektronik/471001264143?qs=YCa%2FAAYMW03bZZ%252BoQThfX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C24B-AB82-4A13-8EC7-565525F2C562}">
  <sheetPr codeName="Sheet1"/>
  <dimension ref="A1:O81"/>
  <sheetViews>
    <sheetView tabSelected="1" topLeftCell="A52" zoomScale="115" zoomScaleNormal="115" workbookViewId="0">
      <selection activeCell="B73" sqref="B73"/>
    </sheetView>
  </sheetViews>
  <sheetFormatPr defaultRowHeight="15" x14ac:dyDescent="0.25"/>
  <cols>
    <col min="1" max="1" width="33.85546875" customWidth="1"/>
    <col min="2" max="2" width="32.28515625" customWidth="1"/>
    <col min="3" max="3" width="34.85546875" customWidth="1"/>
    <col min="4" max="4" width="23" customWidth="1"/>
    <col min="5" max="5" width="23.140625" customWidth="1"/>
    <col min="6" max="6" width="27.85546875" hidden="1" customWidth="1"/>
    <col min="7" max="7" width="14.5703125" customWidth="1"/>
    <col min="8" max="8" width="18.28515625" hidden="1" customWidth="1"/>
    <col min="9" max="9" width="14.5703125" hidden="1" customWidth="1"/>
    <col min="10" max="10" width="23" hidden="1" customWidth="1"/>
    <col min="11" max="11" width="17.42578125" style="19" customWidth="1"/>
    <col min="12" max="12" width="13" style="19" customWidth="1"/>
    <col min="13" max="14" width="9.140625" style="19"/>
    <col min="15" max="15" width="12.28515625" bestFit="1" customWidth="1"/>
  </cols>
  <sheetData>
    <row r="1" spans="1:15" ht="21" x14ac:dyDescent="0.35">
      <c r="A1" s="33" t="s">
        <v>252</v>
      </c>
      <c r="B1" s="35" t="s">
        <v>207</v>
      </c>
      <c r="C1" s="3" t="s">
        <v>238</v>
      </c>
      <c r="D1" s="2"/>
      <c r="E1" s="37"/>
      <c r="F1" s="37"/>
      <c r="G1" s="2"/>
      <c r="H1" s="2"/>
      <c r="I1" s="2"/>
      <c r="J1" s="2"/>
    </row>
    <row r="2" spans="1:15" ht="21.75" customHeight="1" x14ac:dyDescent="0.55000000000000004">
      <c r="A2" s="34"/>
      <c r="B2" s="36"/>
      <c r="C2" s="4" t="s">
        <v>237</v>
      </c>
      <c r="D2" s="5"/>
      <c r="E2" s="5"/>
      <c r="F2" s="5"/>
      <c r="G2" s="5"/>
      <c r="H2" s="2"/>
      <c r="I2" s="2"/>
      <c r="J2" s="2"/>
    </row>
    <row r="3" spans="1:15" ht="32.25" thickBot="1" x14ac:dyDescent="0.4">
      <c r="A3" s="14" t="s">
        <v>0</v>
      </c>
      <c r="B3" s="14" t="s">
        <v>1</v>
      </c>
      <c r="C3" s="14" t="s">
        <v>2</v>
      </c>
      <c r="D3" s="14" t="s">
        <v>132</v>
      </c>
      <c r="E3" s="14" t="s">
        <v>223</v>
      </c>
      <c r="F3" s="14" t="s">
        <v>3</v>
      </c>
      <c r="G3" s="14" t="s">
        <v>133</v>
      </c>
      <c r="H3" s="14" t="s">
        <v>193</v>
      </c>
      <c r="I3" s="14" t="s">
        <v>194</v>
      </c>
      <c r="J3" s="14" t="s">
        <v>222</v>
      </c>
      <c r="K3" s="24" t="s">
        <v>257</v>
      </c>
      <c r="L3" s="25" t="s">
        <v>253</v>
      </c>
      <c r="M3" s="25" t="s">
        <v>255</v>
      </c>
      <c r="N3" s="26" t="s">
        <v>256</v>
      </c>
      <c r="O3" s="29" t="s">
        <v>258</v>
      </c>
    </row>
    <row r="4" spans="1:15" ht="26.25" customHeight="1" thickBot="1" x14ac:dyDescent="0.3">
      <c r="A4" s="1" t="s">
        <v>155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>
        <v>17</v>
      </c>
      <c r="H4" s="11">
        <v>4.2999999999999997E-2</v>
      </c>
      <c r="I4" s="11">
        <f>G4*H4</f>
        <v>0.73099999999999998</v>
      </c>
      <c r="J4" s="17">
        <f>1.25*I4</f>
        <v>0.91374999999999995</v>
      </c>
      <c r="K4" s="20">
        <v>100</v>
      </c>
      <c r="L4" s="27">
        <v>2.73</v>
      </c>
      <c r="M4" s="22">
        <f>IF(K4&gt;0,L4/K4,"")</f>
        <v>2.7300000000000001E-2</v>
      </c>
      <c r="N4" s="20">
        <f t="shared" ref="N4:N47" si="0">IF(K4&gt;0,K4/G4,"")</f>
        <v>5.882352941176471</v>
      </c>
      <c r="O4" s="16">
        <f>G4*M4</f>
        <v>0.46410000000000001</v>
      </c>
    </row>
    <row r="5" spans="1:15" ht="39" thickBot="1" x14ac:dyDescent="0.3">
      <c r="A5" s="10" t="s">
        <v>156</v>
      </c>
      <c r="B5" s="1" t="s">
        <v>9</v>
      </c>
      <c r="C5" s="10" t="s">
        <v>5</v>
      </c>
      <c r="D5" s="10" t="s">
        <v>10</v>
      </c>
      <c r="E5" s="10" t="s">
        <v>11</v>
      </c>
      <c r="F5" s="10" t="s">
        <v>12</v>
      </c>
      <c r="G5" s="10">
        <v>16</v>
      </c>
      <c r="H5" s="12">
        <v>0.17699999999999999</v>
      </c>
      <c r="I5" s="11">
        <f t="shared" ref="I5:I47" si="1">G5*H5</f>
        <v>2.8319999999999999</v>
      </c>
      <c r="J5" s="17">
        <f t="shared" ref="J5:J47" si="2">1.25*I5</f>
        <v>3.54</v>
      </c>
      <c r="K5" s="20">
        <v>50</v>
      </c>
      <c r="L5" s="22">
        <v>17.100000000000001</v>
      </c>
      <c r="M5" s="22">
        <f t="shared" ref="M5:M45" si="3">IF(K5&gt;0,L5/K5,"")</f>
        <v>0.34200000000000003</v>
      </c>
      <c r="N5" s="20">
        <f t="shared" si="0"/>
        <v>3.125</v>
      </c>
      <c r="O5" s="16">
        <f t="shared" ref="O5:O44" si="4">G5*M5</f>
        <v>5.4720000000000004</v>
      </c>
    </row>
    <row r="6" spans="1:15" ht="15.75" thickBot="1" x14ac:dyDescent="0.3">
      <c r="A6" s="1" t="s">
        <v>157</v>
      </c>
      <c r="B6" s="1" t="s">
        <v>13</v>
      </c>
      <c r="C6" s="1" t="s">
        <v>5</v>
      </c>
      <c r="D6" s="1" t="s">
        <v>6</v>
      </c>
      <c r="E6" s="1" t="s">
        <v>14</v>
      </c>
      <c r="F6" s="1" t="s">
        <v>138</v>
      </c>
      <c r="G6" s="1">
        <v>2</v>
      </c>
      <c r="H6" s="11">
        <v>9.2999999999999999E-2</v>
      </c>
      <c r="I6" s="11">
        <f t="shared" si="1"/>
        <v>0.186</v>
      </c>
      <c r="J6" s="17">
        <f t="shared" si="2"/>
        <v>0.23249999999999998</v>
      </c>
      <c r="K6" s="20">
        <v>100</v>
      </c>
      <c r="L6" s="22">
        <v>2.73</v>
      </c>
      <c r="M6" s="22">
        <f t="shared" si="3"/>
        <v>2.7300000000000001E-2</v>
      </c>
      <c r="N6" s="20">
        <f t="shared" si="0"/>
        <v>50</v>
      </c>
      <c r="O6" s="16">
        <f t="shared" si="4"/>
        <v>5.4600000000000003E-2</v>
      </c>
    </row>
    <row r="7" spans="1:15" ht="15.75" thickBot="1" x14ac:dyDescent="0.3">
      <c r="A7" s="10" t="s">
        <v>158</v>
      </c>
      <c r="B7" s="1" t="s">
        <v>159</v>
      </c>
      <c r="C7" s="10" t="s">
        <v>160</v>
      </c>
      <c r="D7" s="10" t="s">
        <v>6</v>
      </c>
      <c r="E7" s="10" t="s">
        <v>184</v>
      </c>
      <c r="F7" s="10" t="s">
        <v>185</v>
      </c>
      <c r="G7" s="10">
        <v>1</v>
      </c>
      <c r="H7" s="12">
        <v>0.61399999999999999</v>
      </c>
      <c r="I7" s="11">
        <f t="shared" si="1"/>
        <v>0.61399999999999999</v>
      </c>
      <c r="J7" s="17">
        <f t="shared" si="2"/>
        <v>0.76749999999999996</v>
      </c>
      <c r="K7" s="20">
        <v>10</v>
      </c>
      <c r="L7" s="22">
        <v>11.02</v>
      </c>
      <c r="M7" s="22">
        <f t="shared" si="3"/>
        <v>1.1019999999999999</v>
      </c>
      <c r="N7" s="20">
        <f t="shared" si="0"/>
        <v>10</v>
      </c>
      <c r="O7" s="16">
        <f t="shared" si="4"/>
        <v>1.1019999999999999</v>
      </c>
    </row>
    <row r="8" spans="1:15" ht="51.75" thickBot="1" x14ac:dyDescent="0.3">
      <c r="A8" s="1" t="s">
        <v>161</v>
      </c>
      <c r="B8" s="18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20</v>
      </c>
      <c r="H8" s="11">
        <v>0.125</v>
      </c>
      <c r="I8" s="11">
        <f t="shared" si="1"/>
        <v>2.5</v>
      </c>
      <c r="J8" s="17">
        <f t="shared" si="2"/>
        <v>3.125</v>
      </c>
      <c r="K8" s="20">
        <v>100</v>
      </c>
      <c r="L8" s="22">
        <v>1</v>
      </c>
      <c r="M8" s="22">
        <f t="shared" si="3"/>
        <v>0.01</v>
      </c>
      <c r="N8" s="20">
        <f t="shared" si="0"/>
        <v>5</v>
      </c>
      <c r="O8" s="16">
        <f t="shared" si="4"/>
        <v>0.2</v>
      </c>
    </row>
    <row r="9" spans="1:15" ht="15.75" thickBot="1" x14ac:dyDescent="0.3">
      <c r="A9" s="10" t="s">
        <v>162</v>
      </c>
      <c r="B9" s="18" t="s">
        <v>20</v>
      </c>
      <c r="C9" s="10" t="s">
        <v>16</v>
      </c>
      <c r="D9" s="10" t="s">
        <v>17</v>
      </c>
      <c r="E9" s="10" t="s">
        <v>21</v>
      </c>
      <c r="F9" s="10" t="s">
        <v>22</v>
      </c>
      <c r="G9" s="10">
        <v>5</v>
      </c>
      <c r="H9" s="12">
        <v>0.14000000000000001</v>
      </c>
      <c r="I9" s="11">
        <f t="shared" si="1"/>
        <v>0.70000000000000007</v>
      </c>
      <c r="J9" s="17">
        <f t="shared" si="2"/>
        <v>0.87500000000000011</v>
      </c>
      <c r="K9" s="20">
        <v>100</v>
      </c>
      <c r="L9" s="22">
        <v>1</v>
      </c>
      <c r="M9" s="22">
        <f t="shared" si="3"/>
        <v>0.01</v>
      </c>
      <c r="N9" s="20">
        <f t="shared" si="0"/>
        <v>20</v>
      </c>
      <c r="O9" s="16">
        <f t="shared" si="4"/>
        <v>0.05</v>
      </c>
    </row>
    <row r="10" spans="1:15" ht="15.75" thickBot="1" x14ac:dyDescent="0.3">
      <c r="A10" s="1" t="s">
        <v>163</v>
      </c>
      <c r="B10" s="18" t="s">
        <v>23</v>
      </c>
      <c r="C10" s="1" t="s">
        <v>16</v>
      </c>
      <c r="D10" s="1" t="s">
        <v>17</v>
      </c>
      <c r="E10" s="1" t="s">
        <v>24</v>
      </c>
      <c r="F10" s="1" t="s">
        <v>25</v>
      </c>
      <c r="G10" s="1">
        <v>4</v>
      </c>
      <c r="H10" s="11">
        <v>0.214</v>
      </c>
      <c r="I10" s="11">
        <f t="shared" si="1"/>
        <v>0.85599999999999998</v>
      </c>
      <c r="J10" s="17">
        <f t="shared" si="2"/>
        <v>1.07</v>
      </c>
      <c r="K10" s="20">
        <v>100</v>
      </c>
      <c r="L10" s="22">
        <v>1</v>
      </c>
      <c r="M10" s="22">
        <f t="shared" si="3"/>
        <v>0.01</v>
      </c>
      <c r="N10" s="20">
        <f t="shared" si="0"/>
        <v>25</v>
      </c>
      <c r="O10" s="16">
        <f t="shared" si="4"/>
        <v>0.04</v>
      </c>
    </row>
    <row r="11" spans="1:15" ht="15.75" thickBot="1" x14ac:dyDescent="0.3">
      <c r="A11" s="10" t="s">
        <v>164</v>
      </c>
      <c r="B11" s="18" t="s">
        <v>29</v>
      </c>
      <c r="C11" s="10" t="s">
        <v>16</v>
      </c>
      <c r="D11" s="10" t="s">
        <v>17</v>
      </c>
      <c r="E11" s="10" t="s">
        <v>30</v>
      </c>
      <c r="F11" s="10" t="s">
        <v>31</v>
      </c>
      <c r="G11" s="10">
        <v>4</v>
      </c>
      <c r="H11" s="12">
        <v>0.121</v>
      </c>
      <c r="I11" s="11">
        <f t="shared" si="1"/>
        <v>0.48399999999999999</v>
      </c>
      <c r="J11" s="17">
        <f t="shared" si="2"/>
        <v>0.60499999999999998</v>
      </c>
      <c r="K11" s="20">
        <v>100</v>
      </c>
      <c r="L11" s="22">
        <v>1</v>
      </c>
      <c r="M11" s="22">
        <f t="shared" si="3"/>
        <v>0.01</v>
      </c>
      <c r="N11" s="20">
        <f t="shared" si="0"/>
        <v>25</v>
      </c>
      <c r="O11" s="16">
        <f t="shared" si="4"/>
        <v>0.04</v>
      </c>
    </row>
    <row r="12" spans="1:15" ht="15.75" thickBot="1" x14ac:dyDescent="0.3">
      <c r="A12" s="1" t="s">
        <v>165</v>
      </c>
      <c r="B12" s="18" t="s">
        <v>26</v>
      </c>
      <c r="C12" s="1" t="s">
        <v>16</v>
      </c>
      <c r="D12" s="1" t="s">
        <v>17</v>
      </c>
      <c r="E12" s="1" t="s">
        <v>27</v>
      </c>
      <c r="F12" s="1" t="s">
        <v>28</v>
      </c>
      <c r="G12" s="1">
        <v>2</v>
      </c>
      <c r="H12" s="11">
        <v>0.121</v>
      </c>
      <c r="I12" s="11">
        <f t="shared" si="1"/>
        <v>0.24199999999999999</v>
      </c>
      <c r="J12" s="17">
        <f t="shared" si="2"/>
        <v>0.30249999999999999</v>
      </c>
      <c r="K12" s="20">
        <v>100</v>
      </c>
      <c r="L12" s="22">
        <v>1</v>
      </c>
      <c r="M12" s="22">
        <f t="shared" si="3"/>
        <v>0.01</v>
      </c>
      <c r="N12" s="20">
        <f t="shared" si="0"/>
        <v>50</v>
      </c>
      <c r="O12" s="16">
        <f t="shared" si="4"/>
        <v>0.02</v>
      </c>
    </row>
    <row r="13" spans="1:15" ht="26.25" thickBot="1" x14ac:dyDescent="0.3">
      <c r="A13" s="10" t="s">
        <v>240</v>
      </c>
      <c r="B13" s="18">
        <v>100</v>
      </c>
      <c r="C13" s="10" t="s">
        <v>16</v>
      </c>
      <c r="D13" s="10" t="s">
        <v>17</v>
      </c>
      <c r="E13" s="10" t="s">
        <v>32</v>
      </c>
      <c r="F13" s="10" t="s">
        <v>33</v>
      </c>
      <c r="G13" s="10">
        <v>7</v>
      </c>
      <c r="H13" s="12">
        <v>0.307</v>
      </c>
      <c r="I13" s="11">
        <f t="shared" si="1"/>
        <v>2.149</v>
      </c>
      <c r="J13" s="17">
        <f t="shared" si="2"/>
        <v>2.6862500000000002</v>
      </c>
      <c r="K13" s="20">
        <v>100</v>
      </c>
      <c r="L13" s="22">
        <v>1</v>
      </c>
      <c r="M13" s="22">
        <f t="shared" si="3"/>
        <v>0.01</v>
      </c>
      <c r="N13" s="20">
        <f t="shared" si="0"/>
        <v>14.285714285714286</v>
      </c>
      <c r="O13" s="16">
        <f t="shared" si="4"/>
        <v>7.0000000000000007E-2</v>
      </c>
    </row>
    <row r="14" spans="1:15" ht="15.75" thickBot="1" x14ac:dyDescent="0.3">
      <c r="A14" s="1" t="s">
        <v>166</v>
      </c>
      <c r="B14" s="18" t="s">
        <v>34</v>
      </c>
      <c r="C14" s="1" t="s">
        <v>35</v>
      </c>
      <c r="D14" s="1" t="s">
        <v>36</v>
      </c>
      <c r="E14" s="1" t="s">
        <v>37</v>
      </c>
      <c r="F14" s="1" t="s">
        <v>38</v>
      </c>
      <c r="G14" s="1">
        <v>1</v>
      </c>
      <c r="H14" s="11">
        <v>0.753</v>
      </c>
      <c r="I14" s="11">
        <f t="shared" si="1"/>
        <v>0.753</v>
      </c>
      <c r="J14" s="17">
        <f t="shared" si="2"/>
        <v>0.94125000000000003</v>
      </c>
      <c r="K14" s="20">
        <v>50</v>
      </c>
      <c r="L14" s="22">
        <v>8.1999999999999993</v>
      </c>
      <c r="M14" s="22">
        <f t="shared" si="3"/>
        <v>0.16399999999999998</v>
      </c>
      <c r="N14" s="20">
        <f t="shared" si="0"/>
        <v>50</v>
      </c>
      <c r="O14" s="16">
        <f t="shared" si="4"/>
        <v>0.16399999999999998</v>
      </c>
    </row>
    <row r="15" spans="1:15" ht="15.75" thickBot="1" x14ac:dyDescent="0.3">
      <c r="A15" s="10" t="s">
        <v>167</v>
      </c>
      <c r="B15" s="1" t="s">
        <v>39</v>
      </c>
      <c r="C15" s="10" t="s">
        <v>168</v>
      </c>
      <c r="D15" s="10" t="s">
        <v>17</v>
      </c>
      <c r="E15" s="10" t="s">
        <v>186</v>
      </c>
      <c r="F15" s="10" t="s">
        <v>187</v>
      </c>
      <c r="G15" s="10">
        <v>1</v>
      </c>
      <c r="H15" s="12">
        <v>9.2999999999999999E-2</v>
      </c>
      <c r="I15" s="11">
        <f t="shared" si="1"/>
        <v>9.2999999999999999E-2</v>
      </c>
      <c r="J15" s="17">
        <f t="shared" si="2"/>
        <v>0.11624999999999999</v>
      </c>
      <c r="K15" s="20">
        <v>100</v>
      </c>
      <c r="L15" s="22">
        <v>0</v>
      </c>
      <c r="M15" s="22">
        <f t="shared" si="3"/>
        <v>0</v>
      </c>
      <c r="N15" s="20">
        <f t="shared" si="0"/>
        <v>100</v>
      </c>
      <c r="O15" s="16">
        <f t="shared" si="4"/>
        <v>0</v>
      </c>
    </row>
    <row r="16" spans="1:15" ht="15.75" thickBot="1" x14ac:dyDescent="0.3">
      <c r="A16" s="1" t="s">
        <v>169</v>
      </c>
      <c r="B16" s="18" t="s">
        <v>217</v>
      </c>
      <c r="C16" s="1" t="s">
        <v>168</v>
      </c>
      <c r="D16" s="1" t="s">
        <v>17</v>
      </c>
      <c r="E16" s="1" t="s">
        <v>218</v>
      </c>
      <c r="F16" s="1" t="s">
        <v>219</v>
      </c>
      <c r="G16" s="1">
        <v>1</v>
      </c>
      <c r="H16" s="11">
        <v>0.40899999999999997</v>
      </c>
      <c r="I16" s="11">
        <f t="shared" si="1"/>
        <v>0.40899999999999997</v>
      </c>
      <c r="J16" s="17">
        <f t="shared" si="2"/>
        <v>0.51124999999999998</v>
      </c>
      <c r="K16" s="20">
        <v>100</v>
      </c>
      <c r="L16" s="22">
        <v>5.7</v>
      </c>
      <c r="M16" s="22">
        <f t="shared" si="3"/>
        <v>5.7000000000000002E-2</v>
      </c>
      <c r="N16" s="20">
        <f t="shared" si="0"/>
        <v>100</v>
      </c>
      <c r="O16" s="16">
        <f t="shared" si="4"/>
        <v>5.7000000000000002E-2</v>
      </c>
    </row>
    <row r="17" spans="1:15" ht="15.75" thickBot="1" x14ac:dyDescent="0.3">
      <c r="A17" s="1" t="s">
        <v>249</v>
      </c>
      <c r="B17" s="18">
        <v>10</v>
      </c>
      <c r="C17" s="10" t="s">
        <v>16</v>
      </c>
      <c r="D17" s="1" t="s">
        <v>17</v>
      </c>
      <c r="E17" s="1" t="s">
        <v>250</v>
      </c>
      <c r="F17" s="1" t="s">
        <v>251</v>
      </c>
      <c r="G17" s="1">
        <v>2</v>
      </c>
      <c r="H17" s="12">
        <v>0.121</v>
      </c>
      <c r="I17" s="11">
        <f t="shared" si="1"/>
        <v>0.24199999999999999</v>
      </c>
      <c r="J17" s="17">
        <f t="shared" si="2"/>
        <v>0.30249999999999999</v>
      </c>
      <c r="K17" s="20">
        <v>100</v>
      </c>
      <c r="L17" s="22">
        <v>1</v>
      </c>
      <c r="M17" s="22">
        <f t="shared" si="3"/>
        <v>0.01</v>
      </c>
      <c r="N17" s="20">
        <f t="shared" si="0"/>
        <v>50</v>
      </c>
      <c r="O17" s="16">
        <f t="shared" si="4"/>
        <v>0.02</v>
      </c>
    </row>
    <row r="18" spans="1:15" ht="15.75" thickBot="1" x14ac:dyDescent="0.3">
      <c r="A18" s="10" t="s">
        <v>41</v>
      </c>
      <c r="B18" s="1" t="s">
        <v>170</v>
      </c>
      <c r="C18" s="10" t="s">
        <v>42</v>
      </c>
      <c r="D18" s="10" t="s">
        <v>40</v>
      </c>
      <c r="E18" s="10" t="s">
        <v>170</v>
      </c>
      <c r="F18" s="10" t="s">
        <v>188</v>
      </c>
      <c r="G18" s="10">
        <v>1</v>
      </c>
      <c r="H18" s="12">
        <v>0.753</v>
      </c>
      <c r="I18" s="11">
        <f t="shared" si="1"/>
        <v>0.753</v>
      </c>
      <c r="J18" s="17">
        <f t="shared" si="2"/>
        <v>0.94125000000000003</v>
      </c>
      <c r="K18" s="20">
        <v>20</v>
      </c>
      <c r="L18" s="22">
        <v>9.1999999999999993</v>
      </c>
      <c r="M18" s="22">
        <f t="shared" si="3"/>
        <v>0.45999999999999996</v>
      </c>
      <c r="N18" s="20">
        <f t="shared" si="0"/>
        <v>20</v>
      </c>
      <c r="O18" s="16">
        <f t="shared" si="4"/>
        <v>0.45999999999999996</v>
      </c>
    </row>
    <row r="19" spans="1:15" ht="15.75" thickBot="1" x14ac:dyDescent="0.3">
      <c r="A19" s="1" t="s">
        <v>43</v>
      </c>
      <c r="B19" s="1" t="s">
        <v>44</v>
      </c>
      <c r="C19" s="1" t="s">
        <v>45</v>
      </c>
      <c r="D19" s="1" t="s">
        <v>46</v>
      </c>
      <c r="E19" s="1" t="s">
        <v>44</v>
      </c>
      <c r="F19" s="1" t="s">
        <v>47</v>
      </c>
      <c r="G19" s="1">
        <v>4</v>
      </c>
      <c r="H19" s="11">
        <v>0.112</v>
      </c>
      <c r="I19" s="11">
        <f t="shared" si="1"/>
        <v>0.44800000000000001</v>
      </c>
      <c r="J19" s="17">
        <f t="shared" si="2"/>
        <v>0.56000000000000005</v>
      </c>
      <c r="K19" s="20">
        <v>50</v>
      </c>
      <c r="L19" s="22">
        <v>0</v>
      </c>
      <c r="M19" s="22">
        <f t="shared" si="3"/>
        <v>0</v>
      </c>
      <c r="N19" s="20">
        <f t="shared" si="0"/>
        <v>12.5</v>
      </c>
      <c r="O19" s="16">
        <f t="shared" si="4"/>
        <v>0</v>
      </c>
    </row>
    <row r="20" spans="1:15" ht="15.75" thickBot="1" x14ac:dyDescent="0.3">
      <c r="A20" s="10" t="s">
        <v>48</v>
      </c>
      <c r="B20" s="1" t="s">
        <v>49</v>
      </c>
      <c r="C20" s="10" t="s">
        <v>50</v>
      </c>
      <c r="D20" s="10" t="s">
        <v>51</v>
      </c>
      <c r="E20" s="10" t="s">
        <v>49</v>
      </c>
      <c r="F20" s="10" t="s">
        <v>52</v>
      </c>
      <c r="G20" s="10">
        <v>2</v>
      </c>
      <c r="H20" s="12">
        <v>0.19500000000000001</v>
      </c>
      <c r="I20" s="11">
        <f t="shared" si="1"/>
        <v>0.39</v>
      </c>
      <c r="J20" s="17">
        <f t="shared" si="2"/>
        <v>0.48750000000000004</v>
      </c>
      <c r="K20" s="21">
        <v>100</v>
      </c>
      <c r="L20" s="22">
        <v>21.5</v>
      </c>
      <c r="M20" s="22">
        <f t="shared" si="3"/>
        <v>0.215</v>
      </c>
      <c r="N20" s="20">
        <f t="shared" si="0"/>
        <v>50</v>
      </c>
      <c r="O20" s="16">
        <f t="shared" si="4"/>
        <v>0.43</v>
      </c>
    </row>
    <row r="21" spans="1:15" ht="15.75" thickBot="1" x14ac:dyDescent="0.3">
      <c r="A21" s="1" t="s">
        <v>53</v>
      </c>
      <c r="B21" s="1" t="s">
        <v>54</v>
      </c>
      <c r="C21" s="1" t="s">
        <v>55</v>
      </c>
      <c r="D21" s="1" t="s">
        <v>56</v>
      </c>
      <c r="E21" s="1" t="s">
        <v>54</v>
      </c>
      <c r="F21" s="1" t="s">
        <v>57</v>
      </c>
      <c r="G21" s="1">
        <v>2</v>
      </c>
      <c r="H21" s="11">
        <v>0.4</v>
      </c>
      <c r="I21" s="11">
        <f t="shared" si="1"/>
        <v>0.8</v>
      </c>
      <c r="J21" s="17">
        <f t="shared" si="2"/>
        <v>1</v>
      </c>
      <c r="K21" s="28">
        <v>50</v>
      </c>
      <c r="L21" s="22">
        <v>9</v>
      </c>
      <c r="M21" s="22">
        <f t="shared" si="3"/>
        <v>0.18</v>
      </c>
      <c r="N21" s="20">
        <f t="shared" si="0"/>
        <v>25</v>
      </c>
      <c r="O21" s="16">
        <f t="shared" si="4"/>
        <v>0.36</v>
      </c>
    </row>
    <row r="22" spans="1:15" ht="15.75" thickBot="1" x14ac:dyDescent="0.3">
      <c r="A22" s="10" t="s">
        <v>171</v>
      </c>
      <c r="B22" s="18" t="s">
        <v>58</v>
      </c>
      <c r="C22" s="10" t="s">
        <v>59</v>
      </c>
      <c r="D22" s="10" t="s">
        <v>60</v>
      </c>
      <c r="E22" s="10" t="s">
        <v>61</v>
      </c>
      <c r="F22" s="10" t="s">
        <v>62</v>
      </c>
      <c r="G22" s="10">
        <v>2</v>
      </c>
      <c r="H22" s="12">
        <v>0.372</v>
      </c>
      <c r="I22" s="11">
        <f t="shared" si="1"/>
        <v>0.74399999999999999</v>
      </c>
      <c r="J22" s="17">
        <f t="shared" si="2"/>
        <v>0.92999999999999994</v>
      </c>
      <c r="K22" s="20">
        <v>100</v>
      </c>
      <c r="L22" s="22">
        <v>32</v>
      </c>
      <c r="M22" s="22">
        <f t="shared" si="3"/>
        <v>0.32</v>
      </c>
      <c r="N22" s="20">
        <f t="shared" si="0"/>
        <v>50</v>
      </c>
      <c r="O22" s="16">
        <f t="shared" si="4"/>
        <v>0.64</v>
      </c>
    </row>
    <row r="23" spans="1:15" ht="15.75" thickBot="1" x14ac:dyDescent="0.3">
      <c r="A23" s="1" t="s">
        <v>242</v>
      </c>
      <c r="B23" s="1" t="s">
        <v>63</v>
      </c>
      <c r="C23" s="1" t="s">
        <v>63</v>
      </c>
      <c r="D23" s="1" t="s">
        <v>64</v>
      </c>
      <c r="E23" s="1">
        <v>4311</v>
      </c>
      <c r="F23" s="1" t="s">
        <v>65</v>
      </c>
      <c r="G23" s="1">
        <v>1</v>
      </c>
      <c r="H23" s="11">
        <v>18.55</v>
      </c>
      <c r="I23" s="11">
        <f t="shared" si="1"/>
        <v>18.55</v>
      </c>
      <c r="J23" s="17">
        <f t="shared" si="2"/>
        <v>23.1875</v>
      </c>
      <c r="K23" s="20">
        <v>2</v>
      </c>
      <c r="L23" s="22">
        <v>36</v>
      </c>
      <c r="M23" s="22">
        <f t="shared" si="3"/>
        <v>18</v>
      </c>
      <c r="N23" s="20">
        <f t="shared" si="0"/>
        <v>2</v>
      </c>
      <c r="O23" s="16">
        <f t="shared" si="4"/>
        <v>18</v>
      </c>
    </row>
    <row r="24" spans="1:15" ht="15.75" thickBot="1" x14ac:dyDescent="0.3">
      <c r="A24" s="10" t="s">
        <v>172</v>
      </c>
      <c r="B24" s="1" t="s">
        <v>195</v>
      </c>
      <c r="C24" s="10" t="s">
        <v>195</v>
      </c>
      <c r="D24" s="10" t="s">
        <v>112</v>
      </c>
      <c r="E24" s="10" t="s">
        <v>195</v>
      </c>
      <c r="F24" s="10" t="s">
        <v>196</v>
      </c>
      <c r="G24" s="10">
        <v>1</v>
      </c>
      <c r="H24" s="12">
        <v>2.37</v>
      </c>
      <c r="I24" s="11">
        <f t="shared" si="1"/>
        <v>2.37</v>
      </c>
      <c r="J24" s="17">
        <f t="shared" si="2"/>
        <v>2.9625000000000004</v>
      </c>
      <c r="K24" s="20">
        <v>5</v>
      </c>
      <c r="L24" s="22">
        <v>16</v>
      </c>
      <c r="M24" s="22">
        <f t="shared" si="3"/>
        <v>3.2</v>
      </c>
      <c r="N24" s="20">
        <f t="shared" si="0"/>
        <v>5</v>
      </c>
      <c r="O24" s="16">
        <f t="shared" si="4"/>
        <v>3.2</v>
      </c>
    </row>
    <row r="25" spans="1:15" ht="15.75" thickBot="1" x14ac:dyDescent="0.3">
      <c r="A25" s="1" t="s">
        <v>66</v>
      </c>
      <c r="B25" s="1" t="s">
        <v>67</v>
      </c>
      <c r="C25" s="1" t="s">
        <v>67</v>
      </c>
      <c r="D25" s="1" t="s">
        <v>68</v>
      </c>
      <c r="E25" s="1" t="s">
        <v>69</v>
      </c>
      <c r="F25" s="1" t="s">
        <v>70</v>
      </c>
      <c r="G25" s="1">
        <v>1</v>
      </c>
      <c r="H25" s="11">
        <v>1.6</v>
      </c>
      <c r="I25" s="11">
        <f t="shared" si="1"/>
        <v>1.6</v>
      </c>
      <c r="J25" s="17">
        <f t="shared" si="2"/>
        <v>2</v>
      </c>
      <c r="K25" s="20">
        <v>5</v>
      </c>
      <c r="L25" s="22">
        <v>21.5</v>
      </c>
      <c r="M25" s="22">
        <f t="shared" si="3"/>
        <v>4.3</v>
      </c>
      <c r="N25" s="20">
        <f t="shared" si="0"/>
        <v>5</v>
      </c>
      <c r="O25" s="16">
        <f t="shared" si="4"/>
        <v>4.3</v>
      </c>
    </row>
    <row r="26" spans="1:15" ht="15.75" thickBot="1" x14ac:dyDescent="0.3">
      <c r="A26" s="10" t="s">
        <v>71</v>
      </c>
      <c r="B26" s="1" t="s">
        <v>216</v>
      </c>
      <c r="C26" s="10" t="s">
        <v>72</v>
      </c>
      <c r="D26" s="10" t="s">
        <v>56</v>
      </c>
      <c r="E26" s="10" t="s">
        <v>216</v>
      </c>
      <c r="F26" s="10" t="s">
        <v>215</v>
      </c>
      <c r="G26" s="10">
        <v>1</v>
      </c>
      <c r="H26" s="12">
        <v>2.5499999999999998</v>
      </c>
      <c r="I26" s="11">
        <f t="shared" si="1"/>
        <v>2.5499999999999998</v>
      </c>
      <c r="J26" s="17">
        <f t="shared" si="2"/>
        <v>3.1875</v>
      </c>
      <c r="K26" s="20">
        <v>50</v>
      </c>
      <c r="L26" s="22">
        <v>30</v>
      </c>
      <c r="M26" s="22">
        <f t="shared" si="3"/>
        <v>0.6</v>
      </c>
      <c r="N26" s="20">
        <f t="shared" si="0"/>
        <v>50</v>
      </c>
      <c r="O26" s="16">
        <f t="shared" si="4"/>
        <v>0.6</v>
      </c>
    </row>
    <row r="27" spans="1:15" ht="15.75" thickBot="1" x14ac:dyDescent="0.3">
      <c r="A27" s="1" t="s">
        <v>73</v>
      </c>
      <c r="B27" s="1" t="s">
        <v>74</v>
      </c>
      <c r="C27" s="1" t="s">
        <v>75</v>
      </c>
      <c r="D27" s="1" t="s">
        <v>40</v>
      </c>
      <c r="E27" s="1" t="s">
        <v>74</v>
      </c>
      <c r="F27" s="1" t="s">
        <v>76</v>
      </c>
      <c r="G27" s="1">
        <v>1</v>
      </c>
      <c r="H27" s="11">
        <v>0.72499999999999998</v>
      </c>
      <c r="I27" s="11">
        <f t="shared" si="1"/>
        <v>0.72499999999999998</v>
      </c>
      <c r="J27" s="17">
        <f t="shared" si="2"/>
        <v>0.90625</v>
      </c>
      <c r="K27" s="20">
        <v>10</v>
      </c>
      <c r="L27" s="22">
        <v>11</v>
      </c>
      <c r="M27" s="22">
        <f t="shared" si="3"/>
        <v>1.1000000000000001</v>
      </c>
      <c r="N27" s="20">
        <f t="shared" si="0"/>
        <v>10</v>
      </c>
      <c r="O27" s="16">
        <f t="shared" si="4"/>
        <v>1.1000000000000001</v>
      </c>
    </row>
    <row r="28" spans="1:15" ht="15.75" thickBot="1" x14ac:dyDescent="0.3">
      <c r="A28" s="10" t="s">
        <v>241</v>
      </c>
      <c r="B28" s="1" t="s">
        <v>173</v>
      </c>
      <c r="C28" s="10" t="s">
        <v>173</v>
      </c>
      <c r="D28" s="10" t="s">
        <v>77</v>
      </c>
      <c r="E28" s="10" t="s">
        <v>173</v>
      </c>
      <c r="F28" s="10" t="s">
        <v>189</v>
      </c>
      <c r="G28" s="10">
        <v>2</v>
      </c>
      <c r="H28" s="12">
        <v>0.54900000000000004</v>
      </c>
      <c r="I28" s="11">
        <f t="shared" si="1"/>
        <v>1.0980000000000001</v>
      </c>
      <c r="J28" s="17">
        <f t="shared" si="2"/>
        <v>1.3725000000000001</v>
      </c>
      <c r="K28" s="20">
        <v>0</v>
      </c>
      <c r="L28" s="22">
        <v>0</v>
      </c>
      <c r="M28" s="22">
        <v>0</v>
      </c>
      <c r="N28" s="20" t="str">
        <f t="shared" si="0"/>
        <v/>
      </c>
      <c r="O28" s="16">
        <v>0</v>
      </c>
    </row>
    <row r="29" spans="1:15" ht="15.75" thickBot="1" x14ac:dyDescent="0.3">
      <c r="A29" s="1" t="s">
        <v>79</v>
      </c>
      <c r="B29" s="1" t="s">
        <v>80</v>
      </c>
      <c r="C29" s="1" t="s">
        <v>16</v>
      </c>
      <c r="D29" s="1" t="s">
        <v>10</v>
      </c>
      <c r="E29" s="1" t="s">
        <v>80</v>
      </c>
      <c r="F29" s="1" t="s">
        <v>81</v>
      </c>
      <c r="G29" s="1">
        <v>1</v>
      </c>
      <c r="H29" s="11">
        <v>0.17699999999999999</v>
      </c>
      <c r="I29" s="11">
        <f t="shared" si="1"/>
        <v>0.17699999999999999</v>
      </c>
      <c r="J29" s="17">
        <f t="shared" si="2"/>
        <v>0.22125</v>
      </c>
      <c r="K29" s="20">
        <v>20</v>
      </c>
      <c r="L29" s="22">
        <v>17.55</v>
      </c>
      <c r="M29" s="22">
        <f t="shared" si="3"/>
        <v>0.87750000000000006</v>
      </c>
      <c r="N29" s="20">
        <f t="shared" si="0"/>
        <v>20</v>
      </c>
      <c r="O29" s="16">
        <f t="shared" si="4"/>
        <v>0.87750000000000006</v>
      </c>
    </row>
    <row r="30" spans="1:15" ht="15.75" thickBot="1" x14ac:dyDescent="0.3">
      <c r="A30" s="10" t="s">
        <v>82</v>
      </c>
      <c r="B30" s="1" t="s">
        <v>174</v>
      </c>
      <c r="C30" s="10" t="s">
        <v>175</v>
      </c>
      <c r="D30" s="10" t="s">
        <v>85</v>
      </c>
      <c r="E30" s="10" t="s">
        <v>174</v>
      </c>
      <c r="F30" s="10" t="s">
        <v>190</v>
      </c>
      <c r="G30" s="10">
        <v>1</v>
      </c>
      <c r="H30" s="12">
        <v>0.38100000000000001</v>
      </c>
      <c r="I30" s="11">
        <f t="shared" si="1"/>
        <v>0.38100000000000001</v>
      </c>
      <c r="J30" s="17">
        <f t="shared" si="2"/>
        <v>0.47625000000000001</v>
      </c>
      <c r="K30" s="20">
        <v>10</v>
      </c>
      <c r="L30" s="22">
        <v>6.2</v>
      </c>
      <c r="M30" s="22">
        <f t="shared" si="3"/>
        <v>0.62</v>
      </c>
      <c r="N30" s="20">
        <f t="shared" si="0"/>
        <v>10</v>
      </c>
      <c r="O30" s="16">
        <f t="shared" si="4"/>
        <v>0.62</v>
      </c>
    </row>
    <row r="31" spans="1:15" ht="15.75" thickBot="1" x14ac:dyDescent="0.3">
      <c r="A31" s="1" t="s">
        <v>87</v>
      </c>
      <c r="B31" s="18" t="s">
        <v>83</v>
      </c>
      <c r="C31" s="1" t="s">
        <v>84</v>
      </c>
      <c r="D31" s="1" t="s">
        <v>85</v>
      </c>
      <c r="E31" s="1" t="s">
        <v>83</v>
      </c>
      <c r="F31" s="1" t="s">
        <v>86</v>
      </c>
      <c r="G31" s="1">
        <v>1</v>
      </c>
      <c r="H31" s="11">
        <v>4.4000000000000004</v>
      </c>
      <c r="I31" s="11">
        <f t="shared" si="1"/>
        <v>4.4000000000000004</v>
      </c>
      <c r="J31" s="17">
        <f t="shared" si="2"/>
        <v>5.5</v>
      </c>
      <c r="K31" s="20">
        <v>10</v>
      </c>
      <c r="L31" s="22">
        <v>89</v>
      </c>
      <c r="M31" s="22">
        <f t="shared" si="3"/>
        <v>8.9</v>
      </c>
      <c r="N31" s="20">
        <f t="shared" si="0"/>
        <v>10</v>
      </c>
      <c r="O31" s="16">
        <f t="shared" si="4"/>
        <v>8.9</v>
      </c>
    </row>
    <row r="32" spans="1:15" ht="15.75" thickBot="1" x14ac:dyDescent="0.3">
      <c r="A32" s="10" t="s">
        <v>88</v>
      </c>
      <c r="B32" s="1" t="s">
        <v>176</v>
      </c>
      <c r="C32" s="10" t="s">
        <v>177</v>
      </c>
      <c r="D32" s="10" t="s">
        <v>85</v>
      </c>
      <c r="E32" s="10" t="s">
        <v>176</v>
      </c>
      <c r="F32" s="10" t="s">
        <v>191</v>
      </c>
      <c r="G32" s="10">
        <v>1</v>
      </c>
      <c r="H32" s="12">
        <v>0.96699999999999997</v>
      </c>
      <c r="I32" s="11">
        <f t="shared" si="1"/>
        <v>0.96699999999999997</v>
      </c>
      <c r="J32" s="17">
        <f t="shared" si="2"/>
        <v>1.20875</v>
      </c>
      <c r="K32" s="20">
        <v>10</v>
      </c>
      <c r="L32" s="22">
        <v>18</v>
      </c>
      <c r="M32" s="22">
        <f t="shared" si="3"/>
        <v>1.8</v>
      </c>
      <c r="N32" s="20">
        <f t="shared" si="0"/>
        <v>10</v>
      </c>
      <c r="O32" s="16">
        <f t="shared" si="4"/>
        <v>1.8</v>
      </c>
    </row>
    <row r="33" spans="1:15" ht="15.75" thickBot="1" x14ac:dyDescent="0.3">
      <c r="A33" s="1" t="s">
        <v>89</v>
      </c>
      <c r="B33" s="18" t="s">
        <v>106</v>
      </c>
      <c r="C33" s="1" t="s">
        <v>107</v>
      </c>
      <c r="D33" s="1" t="s">
        <v>92</v>
      </c>
      <c r="E33" s="1" t="s">
        <v>106</v>
      </c>
      <c r="F33" s="1" t="s">
        <v>108</v>
      </c>
      <c r="G33" s="1">
        <v>1</v>
      </c>
      <c r="H33" s="11">
        <v>5.65</v>
      </c>
      <c r="I33" s="11">
        <f t="shared" si="1"/>
        <v>5.65</v>
      </c>
      <c r="J33" s="17">
        <f t="shared" si="2"/>
        <v>7.0625</v>
      </c>
      <c r="K33" s="20">
        <v>5</v>
      </c>
      <c r="L33" s="22">
        <v>82</v>
      </c>
      <c r="M33" s="22">
        <f t="shared" si="3"/>
        <v>16.399999999999999</v>
      </c>
      <c r="N33" s="20">
        <f t="shared" si="0"/>
        <v>5</v>
      </c>
      <c r="O33" s="16">
        <f t="shared" si="4"/>
        <v>16.399999999999999</v>
      </c>
    </row>
    <row r="34" spans="1:15" ht="15.75" thickBot="1" x14ac:dyDescent="0.3">
      <c r="A34" s="10" t="s">
        <v>94</v>
      </c>
      <c r="B34" s="1" t="s">
        <v>178</v>
      </c>
      <c r="C34" s="10" t="s">
        <v>177</v>
      </c>
      <c r="D34" s="10" t="s">
        <v>85</v>
      </c>
      <c r="E34" s="10" t="s">
        <v>178</v>
      </c>
      <c r="F34" s="10" t="s">
        <v>192</v>
      </c>
      <c r="G34" s="10">
        <v>1</v>
      </c>
      <c r="H34" s="12">
        <v>0.32600000000000001</v>
      </c>
      <c r="I34" s="11">
        <f t="shared" si="1"/>
        <v>0.32600000000000001</v>
      </c>
      <c r="J34" s="17">
        <f t="shared" si="2"/>
        <v>0.40750000000000003</v>
      </c>
      <c r="K34" s="20">
        <v>10</v>
      </c>
      <c r="L34" s="22">
        <v>8</v>
      </c>
      <c r="M34" s="22">
        <f t="shared" si="3"/>
        <v>0.8</v>
      </c>
      <c r="N34" s="20">
        <f t="shared" si="0"/>
        <v>10</v>
      </c>
      <c r="O34" s="16">
        <f t="shared" si="4"/>
        <v>0.8</v>
      </c>
    </row>
    <row r="35" spans="1:15" ht="17.25" customHeight="1" thickBot="1" x14ac:dyDescent="0.3">
      <c r="A35" s="1" t="s">
        <v>100</v>
      </c>
      <c r="B35" s="1" t="s">
        <v>90</v>
      </c>
      <c r="C35" s="1" t="s">
        <v>91</v>
      </c>
      <c r="D35" s="1" t="s">
        <v>92</v>
      </c>
      <c r="E35" s="1" t="s">
        <v>90</v>
      </c>
      <c r="F35" s="1" t="s">
        <v>93</v>
      </c>
      <c r="G35" s="1">
        <v>1</v>
      </c>
      <c r="H35" s="11">
        <v>2.52</v>
      </c>
      <c r="I35" s="11">
        <f t="shared" si="1"/>
        <v>2.52</v>
      </c>
      <c r="J35" s="17">
        <f t="shared" si="2"/>
        <v>3.15</v>
      </c>
      <c r="K35" s="20">
        <v>5</v>
      </c>
      <c r="L35" s="22">
        <v>31</v>
      </c>
      <c r="M35" s="22">
        <f t="shared" si="3"/>
        <v>6.2</v>
      </c>
      <c r="N35" s="20">
        <f t="shared" si="0"/>
        <v>5</v>
      </c>
      <c r="O35" s="16">
        <f t="shared" si="4"/>
        <v>6.2</v>
      </c>
    </row>
    <row r="36" spans="1:15" ht="15.75" thickBot="1" x14ac:dyDescent="0.3">
      <c r="A36" s="10" t="s">
        <v>105</v>
      </c>
      <c r="B36" s="1" t="s">
        <v>101</v>
      </c>
      <c r="C36" s="10" t="s">
        <v>102</v>
      </c>
      <c r="D36" s="10" t="s">
        <v>97</v>
      </c>
      <c r="E36" s="10" t="s">
        <v>103</v>
      </c>
      <c r="F36" s="10" t="s">
        <v>104</v>
      </c>
      <c r="G36" s="10">
        <v>1</v>
      </c>
      <c r="H36" s="12">
        <v>2.64</v>
      </c>
      <c r="I36" s="11">
        <f t="shared" si="1"/>
        <v>2.64</v>
      </c>
      <c r="J36" s="17">
        <f t="shared" si="2"/>
        <v>3.3000000000000003</v>
      </c>
      <c r="K36" s="20">
        <v>5</v>
      </c>
      <c r="L36" s="22">
        <v>63</v>
      </c>
      <c r="M36" s="22">
        <f t="shared" si="3"/>
        <v>12.6</v>
      </c>
      <c r="N36" s="20">
        <f t="shared" si="0"/>
        <v>5</v>
      </c>
      <c r="O36" s="16">
        <f t="shared" si="4"/>
        <v>12.6</v>
      </c>
    </row>
    <row r="37" spans="1:15" ht="15.75" thickBot="1" x14ac:dyDescent="0.3">
      <c r="A37" s="1" t="s">
        <v>179</v>
      </c>
      <c r="B37" s="1" t="s">
        <v>95</v>
      </c>
      <c r="C37" s="1" t="s">
        <v>96</v>
      </c>
      <c r="D37" s="1" t="s">
        <v>97</v>
      </c>
      <c r="E37" s="1" t="s">
        <v>98</v>
      </c>
      <c r="F37" s="1" t="s">
        <v>99</v>
      </c>
      <c r="G37" s="1">
        <v>1</v>
      </c>
      <c r="H37" s="11">
        <v>5.22</v>
      </c>
      <c r="I37" s="11">
        <f t="shared" si="1"/>
        <v>5.22</v>
      </c>
      <c r="J37" s="17">
        <f t="shared" si="2"/>
        <v>6.5249999999999995</v>
      </c>
      <c r="K37" s="20">
        <v>6</v>
      </c>
      <c r="L37" s="22">
        <v>54</v>
      </c>
      <c r="M37" s="22">
        <f t="shared" si="3"/>
        <v>9</v>
      </c>
      <c r="N37" s="20">
        <f t="shared" si="0"/>
        <v>6</v>
      </c>
      <c r="O37" s="16">
        <f t="shared" si="4"/>
        <v>9</v>
      </c>
    </row>
    <row r="38" spans="1:15" ht="15.75" thickBot="1" x14ac:dyDescent="0.3">
      <c r="A38" s="10" t="s">
        <v>180</v>
      </c>
      <c r="B38" s="18" t="s">
        <v>220</v>
      </c>
      <c r="C38" s="10" t="s">
        <v>181</v>
      </c>
      <c r="D38" s="10" t="s">
        <v>85</v>
      </c>
      <c r="E38" s="10" t="s">
        <v>220</v>
      </c>
      <c r="F38" s="10" t="s">
        <v>221</v>
      </c>
      <c r="G38" s="10">
        <v>1</v>
      </c>
      <c r="H38" s="12">
        <v>2.74</v>
      </c>
      <c r="I38" s="11">
        <f t="shared" si="1"/>
        <v>2.74</v>
      </c>
      <c r="J38" s="17">
        <f t="shared" si="2"/>
        <v>3.4250000000000003</v>
      </c>
      <c r="K38" s="20">
        <v>10</v>
      </c>
      <c r="L38" s="22">
        <v>120</v>
      </c>
      <c r="M38" s="22">
        <f t="shared" si="3"/>
        <v>12</v>
      </c>
      <c r="N38" s="20">
        <f t="shared" si="0"/>
        <v>10</v>
      </c>
      <c r="O38" s="16">
        <f t="shared" si="4"/>
        <v>12</v>
      </c>
    </row>
    <row r="39" spans="1:15" ht="15.75" thickBot="1" x14ac:dyDescent="0.3">
      <c r="A39" s="1" t="s">
        <v>109</v>
      </c>
      <c r="B39" s="1" t="s">
        <v>110</v>
      </c>
      <c r="C39" s="1" t="s">
        <v>111</v>
      </c>
      <c r="D39" s="1" t="s">
        <v>112</v>
      </c>
      <c r="E39" s="1" t="s">
        <v>110</v>
      </c>
      <c r="F39" s="1" t="s">
        <v>113</v>
      </c>
      <c r="G39" s="1">
        <v>1</v>
      </c>
      <c r="H39" s="11">
        <v>2.71</v>
      </c>
      <c r="I39" s="11">
        <f t="shared" si="1"/>
        <v>2.71</v>
      </c>
      <c r="J39" s="17">
        <f t="shared" si="2"/>
        <v>3.3875000000000002</v>
      </c>
      <c r="K39" s="20">
        <v>10</v>
      </c>
      <c r="L39" s="22">
        <v>13</v>
      </c>
      <c r="M39" s="22">
        <f t="shared" si="3"/>
        <v>1.3</v>
      </c>
      <c r="N39" s="20">
        <f t="shared" si="0"/>
        <v>10</v>
      </c>
      <c r="O39" s="16">
        <f t="shared" si="4"/>
        <v>1.3</v>
      </c>
    </row>
    <row r="40" spans="1:15" ht="15.75" thickBot="1" x14ac:dyDescent="0.3">
      <c r="A40" s="10" t="s">
        <v>114</v>
      </c>
      <c r="B40" s="1" t="s">
        <v>115</v>
      </c>
      <c r="C40" s="10" t="s">
        <v>115</v>
      </c>
      <c r="D40" s="10" t="s">
        <v>92</v>
      </c>
      <c r="E40" s="10" t="s">
        <v>115</v>
      </c>
      <c r="F40" s="10" t="s">
        <v>116</v>
      </c>
      <c r="G40" s="10">
        <v>1</v>
      </c>
      <c r="H40" s="12">
        <v>0.995</v>
      </c>
      <c r="I40" s="11">
        <f t="shared" si="1"/>
        <v>0.995</v>
      </c>
      <c r="J40" s="17">
        <f t="shared" si="2"/>
        <v>1.2437499999999999</v>
      </c>
      <c r="K40" s="20">
        <v>5</v>
      </c>
      <c r="L40" s="22">
        <v>22.25</v>
      </c>
      <c r="M40" s="22">
        <f t="shared" si="3"/>
        <v>4.45</v>
      </c>
      <c r="N40" s="20">
        <f t="shared" si="0"/>
        <v>5</v>
      </c>
      <c r="O40" s="16">
        <f t="shared" si="4"/>
        <v>4.45</v>
      </c>
    </row>
    <row r="41" spans="1:15" ht="15.75" thickBot="1" x14ac:dyDescent="0.3">
      <c r="A41" s="1" t="s">
        <v>117</v>
      </c>
      <c r="B41" s="1" t="s">
        <v>121</v>
      </c>
      <c r="C41" s="1" t="s">
        <v>121</v>
      </c>
      <c r="D41" s="1" t="s">
        <v>92</v>
      </c>
      <c r="E41" s="1" t="s">
        <v>121</v>
      </c>
      <c r="F41" s="1" t="s">
        <v>122</v>
      </c>
      <c r="G41" s="1">
        <v>1</v>
      </c>
      <c r="H41" s="11">
        <v>0.96699999999999997</v>
      </c>
      <c r="I41" s="11">
        <f t="shared" si="1"/>
        <v>0.96699999999999997</v>
      </c>
      <c r="J41" s="17">
        <f t="shared" si="2"/>
        <v>1.20875</v>
      </c>
      <c r="K41" s="20">
        <v>5</v>
      </c>
      <c r="L41" s="22">
        <v>30</v>
      </c>
      <c r="M41" s="22">
        <f t="shared" si="3"/>
        <v>6</v>
      </c>
      <c r="N41" s="20">
        <f t="shared" si="0"/>
        <v>5</v>
      </c>
      <c r="O41" s="16">
        <f t="shared" si="4"/>
        <v>6</v>
      </c>
    </row>
    <row r="42" spans="1:15" ht="15.75" thickBot="1" x14ac:dyDescent="0.3">
      <c r="A42" s="10" t="s">
        <v>120</v>
      </c>
      <c r="B42" s="1" t="s">
        <v>118</v>
      </c>
      <c r="C42" s="10" t="s">
        <v>45</v>
      </c>
      <c r="D42" s="10" t="s">
        <v>60</v>
      </c>
      <c r="E42" s="10" t="s">
        <v>118</v>
      </c>
      <c r="F42" s="10" t="s">
        <v>119</v>
      </c>
      <c r="G42" s="10">
        <v>1</v>
      </c>
      <c r="H42" s="12">
        <v>0.13</v>
      </c>
      <c r="I42" s="11">
        <f t="shared" si="1"/>
        <v>0.13</v>
      </c>
      <c r="J42" s="17">
        <f t="shared" si="2"/>
        <v>0.16250000000000001</v>
      </c>
      <c r="K42" s="20">
        <v>50</v>
      </c>
      <c r="L42" s="22">
        <v>20</v>
      </c>
      <c r="M42" s="22">
        <f t="shared" si="3"/>
        <v>0.4</v>
      </c>
      <c r="N42" s="20">
        <f t="shared" si="0"/>
        <v>50</v>
      </c>
      <c r="O42" s="16">
        <f t="shared" si="4"/>
        <v>0.4</v>
      </c>
    </row>
    <row r="43" spans="1:15" ht="15.75" thickBot="1" x14ac:dyDescent="0.3">
      <c r="A43" s="1" t="s">
        <v>182</v>
      </c>
      <c r="B43" s="1" t="s">
        <v>135</v>
      </c>
      <c r="C43" s="1" t="s">
        <v>78</v>
      </c>
      <c r="D43" s="1" t="s">
        <v>136</v>
      </c>
      <c r="E43" s="1" t="s">
        <v>135</v>
      </c>
      <c r="F43" s="1" t="s">
        <v>137</v>
      </c>
      <c r="G43" s="1">
        <v>2</v>
      </c>
      <c r="H43" s="11">
        <v>9.2999999999999999E-2</v>
      </c>
      <c r="I43" s="11">
        <f t="shared" si="1"/>
        <v>0.186</v>
      </c>
      <c r="J43" s="17">
        <f t="shared" si="2"/>
        <v>0.23249999999999998</v>
      </c>
      <c r="K43" s="20">
        <v>0</v>
      </c>
      <c r="L43" s="22">
        <v>0</v>
      </c>
      <c r="M43" s="22">
        <v>0</v>
      </c>
      <c r="N43" s="20" t="str">
        <f t="shared" si="0"/>
        <v/>
      </c>
      <c r="O43" s="16">
        <v>0</v>
      </c>
    </row>
    <row r="44" spans="1:15" ht="15.75" thickBot="1" x14ac:dyDescent="0.3">
      <c r="A44" s="10" t="s">
        <v>123</v>
      </c>
      <c r="B44" s="1" t="s">
        <v>124</v>
      </c>
      <c r="C44" s="10" t="s">
        <v>125</v>
      </c>
      <c r="D44" s="10" t="s">
        <v>134</v>
      </c>
      <c r="E44" s="10" t="s">
        <v>124</v>
      </c>
      <c r="F44" s="10" t="s">
        <v>126</v>
      </c>
      <c r="G44" s="10">
        <v>1</v>
      </c>
      <c r="H44" s="12">
        <v>1.26</v>
      </c>
      <c r="I44" s="11">
        <f t="shared" si="1"/>
        <v>1.26</v>
      </c>
      <c r="J44" s="17">
        <f t="shared" si="2"/>
        <v>1.575</v>
      </c>
      <c r="K44" s="20">
        <v>10</v>
      </c>
      <c r="L44" s="22">
        <v>49</v>
      </c>
      <c r="M44" s="22">
        <f t="shared" si="3"/>
        <v>4.9000000000000004</v>
      </c>
      <c r="N44" s="20">
        <f t="shared" si="0"/>
        <v>10</v>
      </c>
      <c r="O44" s="16">
        <f t="shared" si="4"/>
        <v>4.9000000000000004</v>
      </c>
    </row>
    <row r="45" spans="1:15" ht="15.75" thickBot="1" x14ac:dyDescent="0.3">
      <c r="A45" s="1" t="s">
        <v>127</v>
      </c>
      <c r="B45" s="30">
        <v>691243110009</v>
      </c>
      <c r="C45" s="15">
        <v>691243110009</v>
      </c>
      <c r="D45" s="1" t="s">
        <v>128</v>
      </c>
      <c r="E45" s="15">
        <v>691243110009</v>
      </c>
      <c r="F45" s="1" t="s">
        <v>129</v>
      </c>
      <c r="G45" s="1">
        <v>3</v>
      </c>
      <c r="H45" s="11">
        <v>3.7</v>
      </c>
      <c r="I45" s="11">
        <f t="shared" si="1"/>
        <v>11.100000000000001</v>
      </c>
      <c r="J45" s="17">
        <f t="shared" si="2"/>
        <v>13.875000000000002</v>
      </c>
      <c r="K45" s="20">
        <v>50</v>
      </c>
      <c r="L45" s="22">
        <v>23</v>
      </c>
      <c r="M45" s="22">
        <f t="shared" si="3"/>
        <v>0.46</v>
      </c>
      <c r="N45" s="20">
        <f t="shared" si="0"/>
        <v>16.666666666666668</v>
      </c>
      <c r="O45" s="16">
        <v>0</v>
      </c>
    </row>
    <row r="46" spans="1:15" ht="25.5" customHeight="1" thickBot="1" x14ac:dyDescent="0.3">
      <c r="A46" s="10" t="s">
        <v>183</v>
      </c>
      <c r="B46" s="1">
        <v>61300611821</v>
      </c>
      <c r="C46" s="10" t="s">
        <v>130</v>
      </c>
      <c r="D46" s="10" t="s">
        <v>128</v>
      </c>
      <c r="E46" s="10">
        <v>61300611821</v>
      </c>
      <c r="F46" s="10" t="s">
        <v>131</v>
      </c>
      <c r="G46" s="10">
        <v>1</v>
      </c>
      <c r="H46" s="12">
        <v>0.33500000000000002</v>
      </c>
      <c r="I46" s="11">
        <f t="shared" si="1"/>
        <v>0.33500000000000002</v>
      </c>
      <c r="J46" s="17">
        <f t="shared" si="2"/>
        <v>0.41875000000000001</v>
      </c>
      <c r="K46" s="20">
        <v>0</v>
      </c>
      <c r="L46" s="22">
        <v>0</v>
      </c>
      <c r="M46" s="22">
        <v>0</v>
      </c>
      <c r="N46" s="20" t="str">
        <f t="shared" si="0"/>
        <v/>
      </c>
      <c r="O46" s="16">
        <v>0</v>
      </c>
    </row>
    <row r="47" spans="1:15" ht="25.5" customHeight="1" thickBot="1" x14ac:dyDescent="0.3">
      <c r="A47" s="1" t="s">
        <v>243</v>
      </c>
      <c r="B47" s="1" t="s">
        <v>244</v>
      </c>
      <c r="C47" s="15" t="s">
        <v>245</v>
      </c>
      <c r="D47" s="1" t="s">
        <v>136</v>
      </c>
      <c r="E47" s="15" t="s">
        <v>244</v>
      </c>
      <c r="F47" s="1" t="s">
        <v>246</v>
      </c>
      <c r="G47" s="1">
        <v>1</v>
      </c>
      <c r="H47" s="11">
        <v>0.59499999999999997</v>
      </c>
      <c r="I47" s="11">
        <f t="shared" si="1"/>
        <v>0.59499999999999997</v>
      </c>
      <c r="J47" s="17">
        <f t="shared" si="2"/>
        <v>0.74374999999999991</v>
      </c>
      <c r="K47" s="20">
        <v>0</v>
      </c>
      <c r="L47" s="22">
        <v>0</v>
      </c>
      <c r="M47" s="22">
        <v>0</v>
      </c>
      <c r="N47" s="20" t="str">
        <f t="shared" si="0"/>
        <v/>
      </c>
      <c r="O47" s="16">
        <v>0</v>
      </c>
    </row>
    <row r="48" spans="1:15" ht="23.25" x14ac:dyDescent="0.35">
      <c r="A48" s="6" t="s">
        <v>139</v>
      </c>
      <c r="B48" s="6"/>
      <c r="C48" s="6"/>
      <c r="D48" s="6"/>
      <c r="E48" s="6"/>
      <c r="F48" s="6"/>
      <c r="I48" s="7"/>
      <c r="J48" s="7">
        <f>SUM(J4:J47)</f>
        <v>107.64750000000002</v>
      </c>
    </row>
    <row r="49" spans="1:15" ht="23.25" x14ac:dyDescent="0.35">
      <c r="A49" s="6"/>
      <c r="B49" s="6"/>
      <c r="C49" s="6"/>
      <c r="D49" s="6"/>
      <c r="E49" s="6"/>
      <c r="F49" s="6"/>
      <c r="G49" s="7"/>
    </row>
    <row r="50" spans="1:15" ht="36" x14ac:dyDescent="0.55000000000000004">
      <c r="A50" s="5" t="s">
        <v>140</v>
      </c>
      <c r="B50" s="5"/>
      <c r="C50" s="5"/>
      <c r="H50" s="14" t="s">
        <v>225</v>
      </c>
    </row>
    <row r="51" spans="1:15" ht="15" customHeight="1" x14ac:dyDescent="0.25">
      <c r="A51" s="38" t="s">
        <v>224</v>
      </c>
      <c r="B51" s="38"/>
      <c r="C51" s="38"/>
      <c r="E51">
        <v>1</v>
      </c>
      <c r="F51" s="8">
        <v>12.62</v>
      </c>
      <c r="G51" s="8">
        <f>F51*E51</f>
        <v>12.62</v>
      </c>
      <c r="H51" s="8">
        <f>G51*1.25</f>
        <v>15.774999999999999</v>
      </c>
      <c r="K51" s="20">
        <v>10</v>
      </c>
      <c r="L51" s="22">
        <v>67</v>
      </c>
      <c r="M51" s="22">
        <f t="shared" ref="M51" si="5">IF(K51&gt;0,L51/K51,"")</f>
        <v>6.7</v>
      </c>
      <c r="O51" s="22">
        <f>M51</f>
        <v>6.7</v>
      </c>
    </row>
    <row r="52" spans="1:15" x14ac:dyDescent="0.25">
      <c r="A52" s="9" t="s">
        <v>141</v>
      </c>
      <c r="B52" s="9"/>
      <c r="E52">
        <v>1</v>
      </c>
      <c r="F52" s="8">
        <v>5.1100000000000003</v>
      </c>
      <c r="G52" s="8">
        <f>F52*E52</f>
        <v>5.1100000000000003</v>
      </c>
      <c r="H52" s="8">
        <f t="shared" ref="H52:H66" si="6">G52*1.25</f>
        <v>6.3875000000000002</v>
      </c>
      <c r="M52" s="22"/>
      <c r="O52" s="22"/>
    </row>
    <row r="53" spans="1:15" x14ac:dyDescent="0.25">
      <c r="A53" s="3" t="s">
        <v>142</v>
      </c>
      <c r="B53" s="3"/>
      <c r="E53">
        <v>1</v>
      </c>
      <c r="F53" s="8">
        <v>6.11</v>
      </c>
      <c r="G53" s="8">
        <f>F53*E53</f>
        <v>6.11</v>
      </c>
      <c r="H53" s="8">
        <f t="shared" si="6"/>
        <v>7.6375000000000002</v>
      </c>
      <c r="M53" s="22"/>
      <c r="O53" s="22"/>
    </row>
    <row r="54" spans="1:15" x14ac:dyDescent="0.25">
      <c r="A54" t="s">
        <v>211</v>
      </c>
      <c r="B54" t="s">
        <v>210</v>
      </c>
      <c r="E54">
        <v>2</v>
      </c>
      <c r="F54" s="8">
        <v>0.94899999999999995</v>
      </c>
      <c r="G54" s="8">
        <f t="shared" ref="G54:G66" si="7">F54*E54</f>
        <v>1.8979999999999999</v>
      </c>
      <c r="H54" s="8">
        <f t="shared" si="6"/>
        <v>2.3725000000000001</v>
      </c>
      <c r="K54" s="19">
        <v>10</v>
      </c>
      <c r="L54" s="19">
        <v>16</v>
      </c>
      <c r="M54" s="22">
        <f t="shared" ref="M54:M56" si="8">IF(K54&gt;0,L54/K54,"")</f>
        <v>1.6</v>
      </c>
      <c r="O54" s="22">
        <f>M54*2</f>
        <v>3.2</v>
      </c>
    </row>
    <row r="55" spans="1:15" x14ac:dyDescent="0.25">
      <c r="A55" t="s">
        <v>212</v>
      </c>
      <c r="B55" t="s">
        <v>209</v>
      </c>
      <c r="E55">
        <v>2</v>
      </c>
      <c r="F55" s="8">
        <v>1.37</v>
      </c>
      <c r="G55" s="8">
        <f t="shared" si="7"/>
        <v>2.74</v>
      </c>
      <c r="H55" s="8">
        <f t="shared" si="6"/>
        <v>3.4250000000000003</v>
      </c>
      <c r="K55" s="19">
        <v>10</v>
      </c>
      <c r="L55" s="19">
        <v>16</v>
      </c>
      <c r="M55" s="22">
        <f t="shared" si="8"/>
        <v>1.6</v>
      </c>
      <c r="O55" s="22">
        <f>M55*2</f>
        <v>3.2</v>
      </c>
    </row>
    <row r="56" spans="1:15" x14ac:dyDescent="0.25">
      <c r="A56" t="s">
        <v>213</v>
      </c>
      <c r="B56" s="13" t="s">
        <v>208</v>
      </c>
      <c r="E56">
        <v>2</v>
      </c>
      <c r="F56" s="8">
        <v>0.84</v>
      </c>
      <c r="G56" s="8">
        <f t="shared" ref="G56" si="9">F56*E56</f>
        <v>1.68</v>
      </c>
      <c r="H56" s="8">
        <f t="shared" si="6"/>
        <v>2.1</v>
      </c>
      <c r="K56" s="19">
        <v>10</v>
      </c>
      <c r="L56" s="19">
        <v>16</v>
      </c>
      <c r="M56" s="22">
        <f t="shared" si="8"/>
        <v>1.6</v>
      </c>
      <c r="O56" s="22">
        <f>M56*2</f>
        <v>3.2</v>
      </c>
    </row>
    <row r="57" spans="1:15" x14ac:dyDescent="0.25">
      <c r="A57" t="s">
        <v>143</v>
      </c>
      <c r="B57" s="13" t="s">
        <v>197</v>
      </c>
      <c r="E57">
        <v>1</v>
      </c>
      <c r="F57" s="8">
        <v>0.875</v>
      </c>
      <c r="G57" s="8">
        <f t="shared" si="7"/>
        <v>0.875</v>
      </c>
      <c r="H57" s="8">
        <f t="shared" si="6"/>
        <v>1.09375</v>
      </c>
    </row>
    <row r="58" spans="1:15" x14ac:dyDescent="0.25">
      <c r="A58" t="s">
        <v>198</v>
      </c>
      <c r="B58" s="13" t="s">
        <v>199</v>
      </c>
      <c r="E58">
        <v>2</v>
      </c>
      <c r="F58" s="8">
        <v>0.85599999999999998</v>
      </c>
      <c r="G58" s="8">
        <f t="shared" si="7"/>
        <v>1.712</v>
      </c>
      <c r="H58" s="8">
        <f t="shared" si="6"/>
        <v>2.14</v>
      </c>
    </row>
    <row r="59" spans="1:15" x14ac:dyDescent="0.25">
      <c r="A59" s="9" t="s">
        <v>201</v>
      </c>
      <c r="B59" s="13" t="s">
        <v>214</v>
      </c>
      <c r="E59">
        <v>1</v>
      </c>
      <c r="F59" s="8">
        <v>3.45</v>
      </c>
      <c r="G59" s="8">
        <f t="shared" si="7"/>
        <v>3.45</v>
      </c>
      <c r="H59" s="8">
        <f t="shared" si="6"/>
        <v>4.3125</v>
      </c>
    </row>
    <row r="60" spans="1:15" x14ac:dyDescent="0.25">
      <c r="A60" t="s">
        <v>144</v>
      </c>
      <c r="E60">
        <v>1</v>
      </c>
      <c r="F60" s="8">
        <v>5</v>
      </c>
      <c r="G60" s="8">
        <f t="shared" si="7"/>
        <v>5</v>
      </c>
      <c r="H60" s="8">
        <f t="shared" si="6"/>
        <v>6.25</v>
      </c>
    </row>
    <row r="61" spans="1:15" x14ac:dyDescent="0.25">
      <c r="A61" t="s">
        <v>203</v>
      </c>
      <c r="B61" t="s">
        <v>202</v>
      </c>
      <c r="E61">
        <v>4</v>
      </c>
      <c r="F61" s="8">
        <v>0.1</v>
      </c>
      <c r="G61" s="8">
        <f t="shared" si="7"/>
        <v>0.4</v>
      </c>
      <c r="H61" s="8">
        <f t="shared" si="6"/>
        <v>0.5</v>
      </c>
    </row>
    <row r="62" spans="1:15" x14ac:dyDescent="0.25">
      <c r="A62" t="s">
        <v>204</v>
      </c>
      <c r="B62" t="s">
        <v>205</v>
      </c>
      <c r="E62">
        <v>1</v>
      </c>
      <c r="F62" s="8">
        <v>0.1</v>
      </c>
      <c r="G62" s="8">
        <f t="shared" ref="G62" si="10">F62*E62</f>
        <v>0.1</v>
      </c>
      <c r="H62" s="8">
        <f t="shared" si="6"/>
        <v>0.125</v>
      </c>
    </row>
    <row r="63" spans="1:15" x14ac:dyDescent="0.25">
      <c r="A63" s="9" t="s">
        <v>145</v>
      </c>
      <c r="B63" t="s">
        <v>146</v>
      </c>
      <c r="E63">
        <v>1</v>
      </c>
      <c r="F63" s="8">
        <v>0.2</v>
      </c>
      <c r="G63" s="8">
        <f>F61*E61</f>
        <v>0.4</v>
      </c>
      <c r="H63" s="8">
        <f t="shared" si="6"/>
        <v>0.5</v>
      </c>
    </row>
    <row r="64" spans="1:15" x14ac:dyDescent="0.25">
      <c r="A64" s="3" t="s">
        <v>206</v>
      </c>
      <c r="B64" t="s">
        <v>247</v>
      </c>
      <c r="E64">
        <v>4</v>
      </c>
      <c r="F64" s="8">
        <v>0.1</v>
      </c>
      <c r="G64" s="8">
        <f t="shared" si="7"/>
        <v>0.4</v>
      </c>
      <c r="H64" s="8">
        <f t="shared" si="6"/>
        <v>0.5</v>
      </c>
    </row>
    <row r="65" spans="1:15" x14ac:dyDescent="0.25">
      <c r="A65" s="3" t="s">
        <v>147</v>
      </c>
      <c r="B65" t="s">
        <v>148</v>
      </c>
      <c r="E65">
        <v>2</v>
      </c>
      <c r="F65" s="8">
        <v>0.1</v>
      </c>
      <c r="G65" s="8">
        <f t="shared" si="7"/>
        <v>0.2</v>
      </c>
      <c r="H65" s="8">
        <f t="shared" si="6"/>
        <v>0.25</v>
      </c>
    </row>
    <row r="66" spans="1:15" x14ac:dyDescent="0.25">
      <c r="A66" s="3" t="s">
        <v>248</v>
      </c>
      <c r="B66" t="s">
        <v>226</v>
      </c>
      <c r="E66">
        <v>1</v>
      </c>
      <c r="F66" s="8">
        <v>1</v>
      </c>
      <c r="G66" s="8">
        <f t="shared" si="7"/>
        <v>1</v>
      </c>
      <c r="H66" s="8">
        <f t="shared" si="6"/>
        <v>1.25</v>
      </c>
    </row>
    <row r="67" spans="1:15" ht="23.25" x14ac:dyDescent="0.35">
      <c r="A67" s="6" t="s">
        <v>239</v>
      </c>
      <c r="B67" s="6"/>
      <c r="C67" s="6"/>
      <c r="D67" s="6"/>
      <c r="E67" s="6"/>
      <c r="F67" s="6"/>
      <c r="G67" s="7"/>
      <c r="H67" s="7">
        <f>SUM(H64:H66)+SUM(H60:H62)+SUM(H53:H58)+H51</f>
        <v>43.418750000000003</v>
      </c>
      <c r="K67" s="19" t="s">
        <v>254</v>
      </c>
      <c r="L67" s="23">
        <f>SUM(L4:L66)</f>
        <v>1001.6800000000001</v>
      </c>
      <c r="N67" s="19">
        <f>MIN(N4:N47)</f>
        <v>2</v>
      </c>
      <c r="O67" s="16">
        <f>SUM(O4:O66)</f>
        <v>139.39119999999994</v>
      </c>
    </row>
    <row r="69" spans="1:15" ht="36" x14ac:dyDescent="0.55000000000000004">
      <c r="A69" s="31" t="s">
        <v>149</v>
      </c>
      <c r="B69" s="31"/>
      <c r="C69" s="31"/>
      <c r="D69" s="31"/>
    </row>
    <row r="70" spans="1:15" x14ac:dyDescent="0.25">
      <c r="A70" t="s">
        <v>150</v>
      </c>
      <c r="B70" t="s">
        <v>200</v>
      </c>
      <c r="C70" s="13" t="s">
        <v>227</v>
      </c>
      <c r="E70">
        <v>1</v>
      </c>
      <c r="F70" s="8">
        <v>171.4</v>
      </c>
      <c r="G70" s="8">
        <f t="shared" ref="G70" si="11">F70*E70</f>
        <v>171.4</v>
      </c>
      <c r="H70">
        <f>G70*1.25</f>
        <v>214.25</v>
      </c>
    </row>
    <row r="71" spans="1:15" x14ac:dyDescent="0.25">
      <c r="F71" s="8"/>
      <c r="G71" s="8"/>
    </row>
    <row r="72" spans="1:15" ht="36" x14ac:dyDescent="0.55000000000000004">
      <c r="A72" s="31" t="s">
        <v>151</v>
      </c>
      <c r="B72" s="31"/>
      <c r="C72" s="31"/>
      <c r="D72" s="31"/>
      <c r="G72" s="8"/>
    </row>
    <row r="73" spans="1:15" x14ac:dyDescent="0.25">
      <c r="A73" t="s">
        <v>152</v>
      </c>
      <c r="B73" s="13" t="s">
        <v>228</v>
      </c>
      <c r="E73">
        <v>1</v>
      </c>
      <c r="F73" s="8">
        <v>17</v>
      </c>
      <c r="G73" s="8">
        <f>F73*E73</f>
        <v>17</v>
      </c>
      <c r="H73" s="8">
        <f>G73*1.25</f>
        <v>21.25</v>
      </c>
    </row>
    <row r="74" spans="1:15" x14ac:dyDescent="0.25">
      <c r="F74" s="8"/>
      <c r="G74" s="8"/>
      <c r="H74" s="8"/>
    </row>
    <row r="75" spans="1:15" ht="36" x14ac:dyDescent="0.55000000000000004">
      <c r="A75" s="31" t="s">
        <v>153</v>
      </c>
      <c r="B75" s="31"/>
      <c r="G75" s="8"/>
      <c r="H75" s="8"/>
    </row>
    <row r="76" spans="1:15" x14ac:dyDescent="0.25">
      <c r="A76" t="s">
        <v>154</v>
      </c>
      <c r="B76" t="s">
        <v>229</v>
      </c>
      <c r="E76">
        <v>1</v>
      </c>
      <c r="F76" s="8">
        <v>66.34</v>
      </c>
      <c r="G76" s="8">
        <f t="shared" ref="G76:G77" si="12">F76*E76</f>
        <v>66.34</v>
      </c>
      <c r="H76" s="8">
        <f t="shared" ref="H76:H81" si="13">G76*1.25</f>
        <v>82.925000000000011</v>
      </c>
    </row>
    <row r="77" spans="1:15" x14ac:dyDescent="0.25">
      <c r="A77" t="s">
        <v>230</v>
      </c>
      <c r="B77" t="s">
        <v>231</v>
      </c>
      <c r="E77">
        <v>1</v>
      </c>
      <c r="F77" s="8">
        <v>38.340000000000003</v>
      </c>
      <c r="G77" s="8">
        <f t="shared" si="12"/>
        <v>38.340000000000003</v>
      </c>
      <c r="H77" s="8">
        <f t="shared" si="13"/>
        <v>47.925000000000004</v>
      </c>
    </row>
    <row r="78" spans="1:15" ht="23.25" x14ac:dyDescent="0.35">
      <c r="A78" s="6"/>
      <c r="F78" s="32"/>
      <c r="G78" s="32"/>
      <c r="H78" s="8"/>
    </row>
    <row r="79" spans="1:15" ht="36" x14ac:dyDescent="0.55000000000000004">
      <c r="A79" s="31" t="s">
        <v>232</v>
      </c>
      <c r="B79" s="31"/>
      <c r="H79" s="8"/>
    </row>
    <row r="80" spans="1:15" x14ac:dyDescent="0.25">
      <c r="A80" t="s">
        <v>233</v>
      </c>
      <c r="B80" t="s">
        <v>235</v>
      </c>
      <c r="E80">
        <v>1</v>
      </c>
      <c r="F80" s="8">
        <v>18</v>
      </c>
      <c r="G80" s="8">
        <f t="shared" ref="G80:G81" si="14">F80*E80</f>
        <v>18</v>
      </c>
      <c r="H80" s="8">
        <f t="shared" si="13"/>
        <v>22.5</v>
      </c>
    </row>
    <row r="81" spans="1:8" x14ac:dyDescent="0.25">
      <c r="A81" t="s">
        <v>234</v>
      </c>
      <c r="B81" t="s">
        <v>236</v>
      </c>
      <c r="E81">
        <v>1</v>
      </c>
      <c r="F81" s="8">
        <v>17</v>
      </c>
      <c r="G81" s="8">
        <f t="shared" si="14"/>
        <v>17</v>
      </c>
      <c r="H81" s="8">
        <f t="shared" si="13"/>
        <v>21.25</v>
      </c>
    </row>
  </sheetData>
  <mergeCells count="11">
    <mergeCell ref="A79:B79"/>
    <mergeCell ref="F78:G78"/>
    <mergeCell ref="A1:A2"/>
    <mergeCell ref="B1:B2"/>
    <mergeCell ref="E1:F1"/>
    <mergeCell ref="A51:C51"/>
    <mergeCell ref="A69:B69"/>
    <mergeCell ref="A72:B72"/>
    <mergeCell ref="A75:B75"/>
    <mergeCell ref="C69:D69"/>
    <mergeCell ref="C72:D72"/>
  </mergeCells>
  <conditionalFormatting sqref="B4:B47">
    <cfRule type="expression" dxfId="0" priority="5">
      <formula>K4&lt;&gt;""</formula>
    </cfRule>
  </conditionalFormatting>
  <conditionalFormatting sqref="M4:M47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51:M5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4:N47">
    <cfRule type="colorScale" priority="7">
      <colorScale>
        <cfvo type="min"/>
        <cfvo type="percentile" val="50"/>
        <cfvo type="max"/>
        <color rgb="FFFF0000"/>
        <color theme="0"/>
        <color theme="0"/>
      </colorScale>
    </cfRule>
  </conditionalFormatting>
  <conditionalFormatting sqref="O51:O56">
    <cfRule type="colorScale" priority="2">
      <colorScale>
        <cfvo type="min"/>
        <cfvo type="percentile" val="50"/>
        <cfvo type="max"/>
        <color rgb="FFFF0000"/>
        <color theme="0"/>
        <color theme="0"/>
      </colorScale>
    </cfRule>
  </conditionalFormatting>
  <hyperlinks>
    <hyperlink ref="D24" r:id="rId1" display="https://eu.mouser.com/manufacturer/cui-devices/" xr:uid="{20A6F0EA-5529-4B15-9D5D-90A5BC0CFECC}"/>
    <hyperlink ref="B57" r:id="rId2" xr:uid="{5A33C5A7-DC1C-4D1C-82D4-6F10AD1F10D3}"/>
    <hyperlink ref="B58" r:id="rId3" xr:uid="{537D6D9C-9F20-4B7C-8ECD-54BA77D8ACC7}"/>
    <hyperlink ref="B59" r:id="rId4" xr:uid="{DC7B44C9-7248-43F5-9F3E-3B4750BAB0D5}"/>
    <hyperlink ref="C70" r:id="rId5" xr:uid="{1D7E88CD-AFAA-4B97-9D92-1ED605380133}"/>
    <hyperlink ref="B73" r:id="rId6" xr:uid="{51F49AE6-72ED-40A6-BE54-4BFB91B32B23}"/>
    <hyperlink ref="B56" r:id="rId7" xr:uid="{1A1A304C-362E-44B6-95C3-66A5FDD7E9ED}"/>
  </hyperlinks>
  <pageMargins left="0.7" right="0.7" top="0.75" bottom="0.75" header="0.3" footer="0.3"/>
  <pageSetup paperSize="9" orientation="portrait" copies="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Johansson</dc:creator>
  <cp:lastModifiedBy>Jakub Kowalski</cp:lastModifiedBy>
  <dcterms:created xsi:type="dcterms:W3CDTF">2024-01-23T11:49:16Z</dcterms:created>
  <dcterms:modified xsi:type="dcterms:W3CDTF">2025-11-12T17:45:43Z</dcterms:modified>
</cp:coreProperties>
</file>